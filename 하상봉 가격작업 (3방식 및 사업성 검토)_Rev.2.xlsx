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하상봉\OneDrive\★새로운 시작★\1. 업무\040. 엑셀 가격작업\★엑셀 가격작업 파일\"/>
    </mc:Choice>
  </mc:AlternateContent>
  <xr:revisionPtr revIDLastSave="24" documentId="8_{4ED2751D-934F-4029-90FD-F33DFBED95A3}" xr6:coauthVersionLast="36" xr6:coauthVersionMax="36" xr10:uidLastSave="{08E813AE-3E96-4605-8A26-86782BA4A3DC}"/>
  <bookViews>
    <workbookView xWindow="0" yWindow="0" windowWidth="28800" windowHeight="12060" activeTab="1" xr2:uid="{00000000-000D-0000-FFFF-FFFF00000000}"/>
  </bookViews>
  <sheets>
    <sheet name="입력값" sheetId="2" r:id="rId1"/>
    <sheet name="원가방식(개별물건기준)" sheetId="4" r:id="rId2"/>
    <sheet name="비교방식" sheetId="3" r:id="rId3"/>
    <sheet name="수익방식" sheetId="5" r:id="rId4"/>
    <sheet name="시산가액조정" sheetId="6" r:id="rId5"/>
  </sheets>
  <calcPr calcId="191029" iterateDelta="1E-4"/>
</workbook>
</file>

<file path=xl/calcChain.xml><?xml version="1.0" encoding="utf-8"?>
<calcChain xmlns="http://schemas.openxmlformats.org/spreadsheetml/2006/main">
  <c r="B92" i="2" l="1"/>
  <c r="B77" i="2"/>
  <c r="B62" i="2"/>
  <c r="B46" i="2"/>
  <c r="E4" i="4" l="1"/>
  <c r="B89" i="2"/>
  <c r="B74" i="2"/>
  <c r="B59" i="2"/>
  <c r="B58" i="2"/>
  <c r="P27" i="4" l="1"/>
  <c r="P23" i="4"/>
  <c r="P19" i="4"/>
  <c r="B43" i="2"/>
  <c r="B42" i="2"/>
  <c r="A12" i="4" s="1"/>
  <c r="B12" i="4" s="1"/>
  <c r="B33" i="2"/>
  <c r="B88" i="2"/>
  <c r="B87" i="2"/>
  <c r="B73" i="2"/>
  <c r="B72" i="2"/>
  <c r="I26" i="3" l="1"/>
  <c r="I24" i="3"/>
  <c r="I27" i="3" s="1"/>
  <c r="I19" i="3"/>
  <c r="I17" i="3"/>
  <c r="I20" i="3" s="1"/>
  <c r="I10" i="3"/>
  <c r="I13" i="3" s="1"/>
  <c r="I7" i="3" s="1"/>
  <c r="I12" i="3"/>
  <c r="B19" i="2" l="1"/>
  <c r="B5" i="5" s="1"/>
  <c r="B32" i="2"/>
  <c r="A8" i="4" s="1"/>
  <c r="C19" i="4"/>
  <c r="B57" i="2"/>
  <c r="B19" i="4" s="1"/>
  <c r="J7" i="3"/>
  <c r="J14" i="3"/>
  <c r="J21" i="3"/>
  <c r="B8" i="6"/>
  <c r="B12" i="6" s="1"/>
  <c r="B14" i="5"/>
  <c r="B4" i="5"/>
  <c r="B48" i="4"/>
  <c r="B47" i="4"/>
  <c r="B45" i="4"/>
  <c r="B44" i="4"/>
  <c r="B42" i="4"/>
  <c r="B41" i="4"/>
  <c r="B40" i="4"/>
  <c r="B36" i="4"/>
  <c r="B35" i="4"/>
  <c r="M27" i="4"/>
  <c r="L27" i="4"/>
  <c r="K27" i="4"/>
  <c r="J27" i="4"/>
  <c r="I27" i="4"/>
  <c r="H27" i="4"/>
  <c r="N27" i="4" s="1"/>
  <c r="G27" i="4"/>
  <c r="F27" i="4"/>
  <c r="E27" i="4"/>
  <c r="C27" i="4"/>
  <c r="B27" i="4"/>
  <c r="M23" i="4"/>
  <c r="L23" i="4"/>
  <c r="K23" i="4"/>
  <c r="J23" i="4"/>
  <c r="I23" i="4"/>
  <c r="H23" i="4"/>
  <c r="N23" i="4" s="1"/>
  <c r="G23" i="4"/>
  <c r="F23" i="4"/>
  <c r="E23" i="4"/>
  <c r="C23" i="4"/>
  <c r="B23" i="4"/>
  <c r="M19" i="4"/>
  <c r="L19" i="4"/>
  <c r="K19" i="4"/>
  <c r="J19" i="4"/>
  <c r="I19" i="4"/>
  <c r="H19" i="4"/>
  <c r="G19" i="4"/>
  <c r="F19" i="4"/>
  <c r="E19" i="4"/>
  <c r="M12" i="4"/>
  <c r="L12" i="4"/>
  <c r="K12" i="4"/>
  <c r="J12" i="4"/>
  <c r="I12" i="4"/>
  <c r="H12" i="4"/>
  <c r="G12" i="4"/>
  <c r="F12" i="4"/>
  <c r="D12" i="4"/>
  <c r="I8" i="4"/>
  <c r="H8" i="4"/>
  <c r="G8" i="4"/>
  <c r="F8" i="4"/>
  <c r="E8" i="4"/>
  <c r="D8" i="4"/>
  <c r="C8" i="4"/>
  <c r="B8" i="4"/>
  <c r="B4" i="4"/>
  <c r="B30" i="3"/>
  <c r="D21" i="3"/>
  <c r="D14" i="3"/>
  <c r="D7" i="3"/>
  <c r="B3" i="3"/>
  <c r="B27" i="2"/>
  <c r="B13" i="5" s="1"/>
  <c r="H24" i="5" s="1"/>
  <c r="B26" i="2"/>
  <c r="B12" i="5" s="1"/>
  <c r="B25" i="2"/>
  <c r="B11" i="5" s="1"/>
  <c r="B24" i="2"/>
  <c r="B10" i="5" s="1"/>
  <c r="B23" i="2"/>
  <c r="B9" i="5" s="1"/>
  <c r="B22" i="2"/>
  <c r="B8" i="5" s="1"/>
  <c r="H22" i="5" s="1"/>
  <c r="B21" i="2"/>
  <c r="B7" i="5" s="1"/>
  <c r="B20" i="2"/>
  <c r="B6" i="5" s="1"/>
  <c r="H20" i="5" s="1"/>
  <c r="B21" i="4" l="1"/>
  <c r="C21" i="4" s="1"/>
  <c r="D19" i="4" s="1"/>
  <c r="B29" i="4"/>
  <c r="C29" i="4" s="1"/>
  <c r="B25" i="4"/>
  <c r="C25" i="4" s="1"/>
  <c r="D27" i="4"/>
  <c r="O27" i="4" s="1"/>
  <c r="Q27" i="4" s="1"/>
  <c r="D23" i="4"/>
  <c r="O23" i="4" s="1"/>
  <c r="Q23" i="4" s="1"/>
  <c r="B46" i="4"/>
  <c r="B49" i="4" s="1"/>
  <c r="N19" i="4"/>
  <c r="B43" i="4"/>
  <c r="P12" i="4"/>
  <c r="N12" i="4"/>
  <c r="J8" i="4"/>
  <c r="K14" i="3"/>
  <c r="M14" i="3" s="1"/>
  <c r="K21" i="3"/>
  <c r="M21" i="3" s="1"/>
  <c r="K7" i="3"/>
  <c r="M7" i="3" s="1"/>
  <c r="G24" i="5"/>
  <c r="F24" i="5"/>
  <c r="D24" i="5"/>
  <c r="C24" i="5"/>
  <c r="E24" i="5"/>
  <c r="E7" i="5"/>
  <c r="C19" i="5"/>
  <c r="C20" i="5"/>
  <c r="F20" i="5"/>
  <c r="D20" i="5"/>
  <c r="G20" i="5"/>
  <c r="E20" i="5"/>
  <c r="G26" i="5"/>
  <c r="E26" i="5"/>
  <c r="F26" i="5"/>
  <c r="C26" i="5"/>
  <c r="D26" i="5"/>
  <c r="C22" i="5"/>
  <c r="D22" i="5"/>
  <c r="G22" i="5"/>
  <c r="F22" i="5"/>
  <c r="E22" i="5"/>
  <c r="C12" i="4"/>
  <c r="E12" i="4" s="1"/>
  <c r="E4" i="5"/>
  <c r="E5" i="5" s="1"/>
  <c r="O12" i="4" l="1"/>
  <c r="Q12" i="4" s="1"/>
  <c r="R12" i="4" s="1"/>
  <c r="K8" i="4" s="1"/>
  <c r="L8" i="4" s="1"/>
  <c r="M8" i="4" s="1"/>
  <c r="O19" i="4"/>
  <c r="Q19" i="4" s="1"/>
  <c r="E31" i="4" s="1"/>
  <c r="K31" i="4" s="1"/>
  <c r="E36" i="4" s="1"/>
  <c r="B50" i="4"/>
  <c r="K29" i="3"/>
  <c r="B4" i="6" s="1"/>
  <c r="D4" i="6" s="1"/>
  <c r="D19" i="5"/>
  <c r="C21" i="5"/>
  <c r="E6" i="5"/>
  <c r="E8" i="5" s="1"/>
  <c r="E9" i="5" s="1"/>
  <c r="B37" i="4" l="1"/>
  <c r="B52" i="4" s="1"/>
  <c r="B5" i="6" s="1"/>
  <c r="D5" i="6" s="1"/>
  <c r="E35" i="4"/>
  <c r="C23" i="5"/>
  <c r="C25" i="5" s="1"/>
  <c r="C27" i="5" s="1"/>
  <c r="D21" i="5"/>
  <c r="E19" i="5"/>
  <c r="E21" i="5" l="1"/>
  <c r="F19" i="5"/>
  <c r="D23" i="5"/>
  <c r="D25" i="5"/>
  <c r="D27" i="5" s="1"/>
  <c r="F21" i="5" l="1"/>
  <c r="G19" i="5"/>
  <c r="E23" i="5"/>
  <c r="E25" i="5" s="1"/>
  <c r="E27" i="5" s="1"/>
  <c r="G21" i="5" l="1"/>
  <c r="H19" i="5"/>
  <c r="H21" i="5" s="1"/>
  <c r="H23" i="5" s="1"/>
  <c r="H25" i="5" s="1"/>
  <c r="G28" i="5" s="1"/>
  <c r="G29" i="5" s="1"/>
  <c r="G23" i="5"/>
  <c r="G25" i="5" s="1"/>
  <c r="F23" i="5"/>
  <c r="F25" i="5" s="1"/>
  <c r="F27" i="5" s="1"/>
  <c r="G27" i="5" l="1"/>
  <c r="B31" i="5" l="1"/>
  <c r="B32" i="5" s="1"/>
  <c r="B6" i="6" s="1"/>
  <c r="D6" i="6" s="1"/>
  <c r="B10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사용자 입력/가정</t>
        </r>
      </text>
    </comment>
    <comment ref="B5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사용자 입력/가정</t>
        </r>
      </text>
    </comment>
    <comment ref="E5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사용자 입력/가정</t>
        </r>
      </text>
    </comment>
    <comment ref="F5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사용자 입력/가정</t>
        </r>
      </text>
    </comment>
    <comment ref="G5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사용자 입력/가정</t>
        </r>
      </text>
    </comment>
    <comment ref="B6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사용자 입력/가정</t>
        </r>
      </text>
    </comment>
    <comment ref="E6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사용자 입력/가정</t>
        </r>
      </text>
    </comment>
    <comment ref="F6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사용자 입력/가정</t>
        </r>
      </text>
    </comment>
    <comment ref="G6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사용자 입력/가정</t>
        </r>
      </text>
    </comment>
    <comment ref="B7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사용자 입력/가정</t>
        </r>
      </text>
    </comment>
    <comment ref="E7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사용자 입력/가정</t>
        </r>
      </text>
    </comment>
    <comment ref="F7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사용자 입력/가정</t>
        </r>
      </text>
    </comment>
    <comment ref="G7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사용자 입력/가정</t>
        </r>
      </text>
    </comment>
    <comment ref="B8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사용자 입력/가정</t>
        </r>
      </text>
    </comment>
    <comment ref="E8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사용자 입력/가정</t>
        </r>
      </text>
    </comment>
    <comment ref="F8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사용자 입력/가정</t>
        </r>
      </text>
    </comment>
    <comment ref="G8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사용자 입력/가정</t>
        </r>
      </text>
    </comment>
    <comment ref="B9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사용자 입력/가정</t>
        </r>
      </text>
    </comment>
    <comment ref="E9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사용자 입력/가정</t>
        </r>
      </text>
    </comment>
    <comment ref="F9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사용자 입력/가정</t>
        </r>
      </text>
    </comment>
    <comment ref="G9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사용자 입력/가정</t>
        </r>
      </text>
    </comment>
    <comment ref="B10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사용자 입력/가정</t>
        </r>
      </text>
    </comment>
    <comment ref="E10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사용자 입력/가정</t>
        </r>
      </text>
    </comment>
    <comment ref="F10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사용자 입력/가정</t>
        </r>
      </text>
    </comment>
    <comment ref="G10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사용자 입력/가정</t>
        </r>
      </text>
    </comment>
    <comment ref="B11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사용자 입력/가정</t>
        </r>
      </text>
    </comment>
    <comment ref="E11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사용자 입력/가정</t>
        </r>
      </text>
    </comment>
    <comment ref="F11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사용자 입력/가정</t>
        </r>
      </text>
    </comment>
    <comment ref="G11" authorId="0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사용자 입력/가정</t>
        </r>
      </text>
    </comment>
    <comment ref="B12" authorId="0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사용자 입력/가정</t>
        </r>
      </text>
    </comment>
    <comment ref="E12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사용자 입력/가정</t>
        </r>
      </text>
    </comment>
    <comment ref="F12" authorId="0" shapeId="0" xr:uid="{00000000-0006-0000-0100-000020000000}">
      <text>
        <r>
          <rPr>
            <sz val="11"/>
            <color theme="1"/>
            <rFont val="Calibri"/>
            <family val="2"/>
            <scheme val="minor"/>
          </rPr>
          <t>사용자 입력/가정</t>
        </r>
      </text>
    </comment>
    <comment ref="G12" authorId="0" shapeId="0" xr:uid="{00000000-0006-0000-0100-000021000000}">
      <text>
        <r>
          <rPr>
            <sz val="11"/>
            <color theme="1"/>
            <rFont val="Calibri"/>
            <family val="2"/>
            <scheme val="minor"/>
          </rPr>
          <t>사용자 입력/가정</t>
        </r>
      </text>
    </comment>
    <comment ref="B13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사용자 입력/가정</t>
        </r>
      </text>
    </comment>
    <comment ref="E13" authorId="0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사용자 입력/가정</t>
        </r>
      </text>
    </comment>
    <comment ref="F13" authorId="0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사용자 입력/가정</t>
        </r>
      </text>
    </comment>
    <comment ref="G13" authorId="0" shapeId="0" xr:uid="{00000000-0006-0000-0100-000025000000}">
      <text>
        <r>
          <rPr>
            <sz val="11"/>
            <color theme="1"/>
            <rFont val="Calibri"/>
            <family val="2"/>
            <scheme val="minor"/>
          </rPr>
          <t>사용자 입력/가정</t>
        </r>
      </text>
    </comment>
    <comment ref="B14" authorId="0" shapeId="0" xr:uid="{00000000-0006-0000-0100-000026000000}">
      <text>
        <r>
          <rPr>
            <sz val="11"/>
            <color theme="1"/>
            <rFont val="Calibri"/>
            <family val="2"/>
            <scheme val="minor"/>
          </rPr>
          <t>사용자 입력/가정</t>
        </r>
      </text>
    </comment>
    <comment ref="B15" authorId="0" shapeId="0" xr:uid="{00000000-0006-0000-0100-000027000000}">
      <text>
        <r>
          <rPr>
            <sz val="11"/>
            <color theme="1"/>
            <rFont val="Calibri"/>
            <family val="2"/>
            <scheme val="minor"/>
          </rPr>
          <t>사용자 입력/가정</t>
        </r>
      </text>
    </comment>
    <comment ref="A30" authorId="0" shapeId="0" xr:uid="{00000000-0006-0000-0100-000028000000}">
      <text>
        <r>
          <rPr>
            <sz val="11"/>
            <color theme="1"/>
            <rFont val="Calibri"/>
            <family val="2"/>
            <scheme val="minor"/>
          </rPr>
          <t>참고 URL:
https://www.law.go.kr/LSW/precInfoP.do?precSeq=220391
https://www.law.go.kr/LSW/admRulInfoP.do?admRulSeq=2100000069509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6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공시지가기준법: 비교표준지 공시지가를 기준으로 시점수정, 지역요인 비교, 개별요인 비교, 그 밖의 요인 보정을 거쳐 산정.
참고 URL: https://www.law.go.kr/LSW/precInfoP.do?precSeq=220391</t>
        </r>
      </text>
    </comment>
    <comment ref="A10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기타요인보정치: 표준지 기준 산정방식. 선례가 토지+건물 일체가격이면 배분법으로 건물가액을 차감하여 토지가액을 추정.
참고 URL: https://www.law.go.kr/LSW/precInfoP.do?precSeq=220391</t>
        </r>
      </text>
    </comment>
    <comment ref="A17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거래사례비교법: 사정보정, 시점수정, 가치형성요인 비교를 반영.
참고 URL: https://www.law.go.kr/LSW/admRulInfoP.do?admRulSeq=2100000069509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7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사용자 입력/가정</t>
        </r>
      </text>
    </comment>
    <comment ref="C7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사용자 입력/가정</t>
        </r>
      </text>
    </comment>
    <comment ref="F7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사용자 입력/가정</t>
        </r>
      </text>
    </comment>
    <comment ref="G7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사용자 입력/가정</t>
        </r>
      </text>
    </comment>
    <comment ref="H7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사용자 입력/가정</t>
        </r>
      </text>
    </comment>
    <comment ref="I7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사용자 입력/가정</t>
        </r>
      </text>
    </comment>
    <comment ref="L7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사용자 입력/가정</t>
        </r>
      </text>
    </comment>
    <comment ref="B14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사용자 입력/가정</t>
        </r>
      </text>
    </comment>
    <comment ref="C14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사용자 입력/가정</t>
        </r>
      </text>
    </comment>
    <comment ref="F14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사용자 입력/가정</t>
        </r>
      </text>
    </comment>
    <comment ref="G14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사용자 입력/가정</t>
        </r>
      </text>
    </comment>
    <comment ref="H14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사용자 입력/가정</t>
        </r>
      </text>
    </comment>
    <comment ref="I14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사용자 입력/가정</t>
        </r>
      </text>
    </comment>
    <comment ref="L14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사용자 입력/가정</t>
        </r>
      </text>
    </comment>
    <comment ref="B21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사용자 입력/가정</t>
        </r>
      </text>
    </comment>
    <comment ref="C21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사용자 입력/가정</t>
        </r>
      </text>
    </comment>
    <comment ref="F21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사용자 입력/가정</t>
        </r>
      </text>
    </comment>
    <comment ref="G21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사용자 입력/가정</t>
        </r>
      </text>
    </comment>
    <comment ref="H21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사용자 입력/가정</t>
        </r>
      </text>
    </comment>
    <comment ref="I21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사용자 입력/가정</t>
        </r>
      </text>
    </comment>
    <comment ref="L21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사용자 입력/가정</t>
        </r>
      </text>
    </comment>
  </commentList>
</comments>
</file>

<file path=xl/sharedStrings.xml><?xml version="1.0" encoding="utf-8"?>
<sst xmlns="http://schemas.openxmlformats.org/spreadsheetml/2006/main" count="660" uniqueCount="401">
  <si>
    <t>최종가액 = 토지 채택가액 + 감가후 건물가액</t>
  </si>
  <si>
    <t>입력값 및 시나리오</t>
  </si>
  <si>
    <t>대상물건 기본정보</t>
  </si>
  <si>
    <t>수익방식 시나리오 가정</t>
  </si>
  <si>
    <t>토지면적 (㎡)</t>
  </si>
  <si>
    <t>보수(1)</t>
  </si>
  <si>
    <t>기준(2)</t>
  </si>
  <si>
    <t>낙관(3)</t>
  </si>
  <si>
    <t>연면적 (㎡)</t>
  </si>
  <si>
    <t>월임대료 (원/㎡/월)</t>
  </si>
  <si>
    <t>임대가능면적 NRA (㎡)</t>
  </si>
  <si>
    <t>점유율</t>
  </si>
  <si>
    <t>건물 경과연수 (년)</t>
  </si>
  <si>
    <t>기타수입(연) (원)</t>
  </si>
  <si>
    <t>경제적 내용연수 (년)</t>
  </si>
  <si>
    <t>운영경비율</t>
  </si>
  <si>
    <t>개별공시지가 (원/㎡)</t>
  </si>
  <si>
    <t>임대료성장률</t>
  </si>
  <si>
    <t>건물 신축단가 (원/㎡)</t>
  </si>
  <si>
    <t>할인율</t>
  </si>
  <si>
    <t>간접공사비율</t>
  </si>
  <si>
    <t>말기환원율</t>
  </si>
  <si>
    <t>기능적 감가율</t>
  </si>
  <si>
    <t>직접환원율</t>
  </si>
  <si>
    <t>경제적 감가율</t>
  </si>
  <si>
    <t>연간 자본적지출 Reserve (원)</t>
  </si>
  <si>
    <t>수익방식 내 직접환원 가중치</t>
  </si>
  <si>
    <t>활성 시나리오 값 (자동연결)</t>
  </si>
  <si>
    <t>활성 월임대료</t>
  </si>
  <si>
    <t>활성 점유율</t>
  </si>
  <si>
    <t>활성 기타수입(연)</t>
  </si>
  <si>
    <t>활성 운영경비율</t>
  </si>
  <si>
    <t>활성 임대료성장률</t>
  </si>
  <si>
    <t>활성 할인율</t>
  </si>
  <si>
    <t>활성 말기환원율</t>
  </si>
  <si>
    <t>활성 직접환원율</t>
  </si>
  <si>
    <t>활성 연간 Reserve</t>
  </si>
  <si>
    <t>원가방식 토지평가 입력값 (공시지가기준법 / 거래사례비교법 / 기타요인 배분법)</t>
  </si>
  <si>
    <t>비교표준지 공시지가 (원/㎡)</t>
  </si>
  <si>
    <t>공시지가기준법 시점수정</t>
  </si>
  <si>
    <t>공시지가기준법 지역요인비교치</t>
  </si>
  <si>
    <t>공시지가기준법 개별요인 - 가로조건</t>
  </si>
  <si>
    <t>공시지가기준법 개별요인 - 접근조건</t>
  </si>
  <si>
    <t>공시지가기준법 개별요인 - 환경조건</t>
  </si>
  <si>
    <t>공시지가기준법 개별요인 - 획지조건</t>
  </si>
  <si>
    <t>공시지가기준법 개별요인 - 행정적조건</t>
  </si>
  <si>
    <t>공시지가기준법 개별요인 - 기타조건</t>
  </si>
  <si>
    <t>그 밖의 요인 선례 총거래가액 (원)</t>
  </si>
  <si>
    <t>그 밖의 요인 선례 토지면적 (㎡)</t>
  </si>
  <si>
    <t>그 밖의 요인 선례 건물 재조달원가 (원)</t>
  </si>
  <si>
    <t>그 밖의 요인 선례 건물 감가율</t>
  </si>
  <si>
    <t>그 밖의 요인 선례 시점수정</t>
  </si>
  <si>
    <t>그 밖의 요인 선례 지역요인비교치</t>
  </si>
  <si>
    <t>그 밖의 요인 선례 개별요인 - 가로조건</t>
  </si>
  <si>
    <t>그 밖의 요인 선례 개별요인 - 접근조건</t>
  </si>
  <si>
    <t>그 밖의 요인 선례 개별요인 - 환경조건</t>
  </si>
  <si>
    <t>그 밖의 요인 선례 개별요인 - 획지조건</t>
  </si>
  <si>
    <t>그 밖의 요인 선례 개별요인 - 행정적조건</t>
  </si>
  <si>
    <t>그 밖의 요인 선례 개별요인 - 기타조건</t>
  </si>
  <si>
    <t>공시지가기준법 가중치</t>
  </si>
  <si>
    <t>거래사례비교법 가중치</t>
  </si>
  <si>
    <t>거래사례1 총거래가액(원)</t>
  </si>
  <si>
    <t>거래사례1 토지면적(㎡)</t>
  </si>
  <si>
    <t>거래사례1 사정보정</t>
  </si>
  <si>
    <t>거래사례1 시점수정</t>
  </si>
  <si>
    <t>거래사례1 지역요인비교치</t>
  </si>
  <si>
    <t>거래사례1 개별요인 - 가로조건</t>
  </si>
  <si>
    <t>거래사례1 개별요인 - 접근조건</t>
  </si>
  <si>
    <t>거래사례1 개별요인 - 환경조건</t>
  </si>
  <si>
    <t>거래사례1 개별요인 - 획지조건</t>
  </si>
  <si>
    <t>거래사례1 개별요인 - 행정적조건</t>
  </si>
  <si>
    <t>거래사례1 개별요인 - 기타조건</t>
  </si>
  <si>
    <t>거래사례1 가중치</t>
  </si>
  <si>
    <t>거래사례2 총거래가액(원)</t>
  </si>
  <si>
    <t>거래사례2 토지면적(㎡)</t>
  </si>
  <si>
    <t>거래사례2 사정보정</t>
  </si>
  <si>
    <t>거래사례2 시점수정</t>
  </si>
  <si>
    <t>거래사례2 지역요인비교치</t>
  </si>
  <si>
    <t>거래사례2 개별요인 - 가로조건</t>
  </si>
  <si>
    <t>거래사례2 개별요인 - 접근조건</t>
  </si>
  <si>
    <t>거래사례2 개별요인 - 환경조건</t>
  </si>
  <si>
    <t>거래사례2 개별요인 - 획지조건</t>
  </si>
  <si>
    <t>거래사례2 개별요인 - 행정적조건</t>
  </si>
  <si>
    <t>거래사례2 개별요인 - 기타조건</t>
  </si>
  <si>
    <t>거래사례2 가중치</t>
  </si>
  <si>
    <t>거래사례3 총거래가액(원)</t>
  </si>
  <si>
    <t>거래사례3 토지면적(㎡)</t>
  </si>
  <si>
    <t>거래사례3 사정보정</t>
  </si>
  <si>
    <t>거래사례3 시점수정</t>
  </si>
  <si>
    <t>거래사례3 지역요인비교치</t>
  </si>
  <si>
    <t>거래사례3 개별요인 - 가로조건</t>
  </si>
  <si>
    <t>거래사례3 개별요인 - 접근조건</t>
  </si>
  <si>
    <t>거래사례3 개별요인 - 환경조건</t>
  </si>
  <si>
    <t>거래사례3 개별요인 - 획지조건</t>
  </si>
  <si>
    <t>거래사례3 개별요인 - 행정적조건</t>
  </si>
  <si>
    <t>거래사례3 개별요인 - 기타조건</t>
  </si>
  <si>
    <t>거래사례3 가중치</t>
  </si>
  <si>
    <t>※ 노란색/파란색 셀만 수정하세요. 개별요인 비교치는 가로조건×접근조건×환경조건×획지조건×행정적조건×기타조건으로 계산됩니다.</t>
  </si>
  <si>
    <t>※ 기타요인보정치 예시는 선례가 토지+건물 일체가격일 때 배분법으로 건물가액을 차감해 토지가격을 구한 뒤 표준지 기준 산정방식으로 격차율을 계산합니다.</t>
  </si>
  <si>
    <t>비교방식 (토지+건물 일괄 거래사례 비교)</t>
  </si>
  <si>
    <t>대상 연면적 (㎡)</t>
  </si>
  <si>
    <t>산식</t>
  </si>
  <si>
    <t>사례</t>
  </si>
  <si>
    <t>총거래가액(원)</t>
  </si>
  <si>
    <t>연면적(㎡)</t>
  </si>
  <si>
    <t>거래단가(원/㎡)</t>
  </si>
  <si>
    <t>시점보정</t>
  </si>
  <si>
    <t>보정단가(원/㎡)</t>
  </si>
  <si>
    <t>시산가액(원)</t>
  </si>
  <si>
    <t>가중치</t>
  </si>
  <si>
    <t>가중시산가액</t>
  </si>
  <si>
    <t>사례1</t>
  </si>
  <si>
    <t>사례2</t>
  </si>
  <si>
    <t>사례3</t>
  </si>
  <si>
    <t>비교방식 최종 시산가액</t>
  </si>
  <si>
    <t>가중치 합계 체크</t>
  </si>
  <si>
    <t>원가방식 (토지: 공시지가기준법 + 거래사례비교법 / 건물: 원가법 / 최종합산)</t>
  </si>
  <si>
    <t>기초정보</t>
  </si>
  <si>
    <t>토지가격 산정 ① 공시지가기준법 (가로형)</t>
  </si>
  <si>
    <t>비교표준지 공시지가
(원/㎡)</t>
  </si>
  <si>
    <t>시점수정</t>
  </si>
  <si>
    <t>지역요인
비교치</t>
  </si>
  <si>
    <t>가로조건</t>
  </si>
  <si>
    <t>접근조건</t>
  </si>
  <si>
    <t>환경조건</t>
  </si>
  <si>
    <t>획지조건</t>
  </si>
  <si>
    <t>행정적조건</t>
  </si>
  <si>
    <t>기타조건</t>
  </si>
  <si>
    <t>개별요인
비교치</t>
  </si>
  <si>
    <t>그 밖의 요인
보정치</t>
  </si>
  <si>
    <t>산정단가
(원/㎡)</t>
  </si>
  <si>
    <t>토지가액
(원)</t>
  </si>
  <si>
    <t>비고</t>
  </si>
  <si>
    <t>그 밖의 요인(기타요인보정치) 산정 - 배분법 포함</t>
  </si>
  <si>
    <t>선례 총거래가액
(원)</t>
  </si>
  <si>
    <t>배분후 건물가액
(원)</t>
  </si>
  <si>
    <t>배분후 토지가액
(원)</t>
  </si>
  <si>
    <t>토지면적
(㎡)</t>
  </si>
  <si>
    <t>배분후 토지단가
(원/㎡)</t>
  </si>
  <si>
    <t>지역요인</t>
  </si>
  <si>
    <t>가로</t>
  </si>
  <si>
    <t>접근</t>
  </si>
  <si>
    <t>환경</t>
  </si>
  <si>
    <t>획지</t>
  </si>
  <si>
    <t>행정</t>
  </si>
  <si>
    <t>기타</t>
  </si>
  <si>
    <t>개별요인</t>
  </si>
  <si>
    <t>선례기준 산정가격</t>
  </si>
  <si>
    <t>비교표준지 기준가격</t>
  </si>
  <si>
    <t>격차율</t>
  </si>
  <si>
    <t>배분법 산식</t>
  </si>
  <si>
    <t>배분후 건물가액 = MIN(선례 건물 재조달원가 × (1-감가율), 총거래가액)</t>
  </si>
  <si>
    <t>배분후 토지가액 = 총거래가액 - 배분후 건물가액</t>
  </si>
  <si>
    <t>토지가격 산정 ② 거래사례비교법 (사정보정 + 시점수정 + 지역요인 + 개별요인)</t>
  </si>
  <si>
    <t>총거래가액
(원)</t>
  </si>
  <si>
    <t>거래단가
(원/㎡)</t>
  </si>
  <si>
    <t>사정보정</t>
  </si>
  <si>
    <t>보정단가
(원/㎡)</t>
  </si>
  <si>
    <t>가중단가</t>
  </si>
  <si>
    <t>거래사례비교 토지단가 (원/㎡)</t>
  </si>
  <si>
    <t>거래사례비교 토지가액 (원)</t>
  </si>
  <si>
    <t>개별요인 비교치 = 가로 × 접근 × 환경 × 획지 × 행정 × 기타</t>
  </si>
  <si>
    <t>토지가액 조정</t>
  </si>
  <si>
    <t>공시지가기준법 토지가액 (원)</t>
  </si>
  <si>
    <t>거래사례비교법 토지가액 (원)</t>
  </si>
  <si>
    <t>토지 채택가액 (원)</t>
  </si>
  <si>
    <t>토지 채택가액 산식</t>
  </si>
  <si>
    <t>'=(공시지가기준법 토지가액×가중치 + 거래사례비교 토지가액×가중치) ÷ 가중치 합계</t>
  </si>
  <si>
    <t>건물가격 산정 (원가법)</t>
  </si>
  <si>
    <t>건물 재조달원가 (원)</t>
  </si>
  <si>
    <t>경과연수 (년)</t>
  </si>
  <si>
    <t>물리적 감가율</t>
  </si>
  <si>
    <t>총감가율</t>
  </si>
  <si>
    <t>감가후 건물가액 (원)</t>
  </si>
  <si>
    <t>원가방식 최종 시산가액</t>
  </si>
  <si>
    <t>수익방식 (직접환원법 + 5개년 DCF)</t>
  </si>
  <si>
    <t>직접환원법</t>
  </si>
  <si>
    <t>잠재총소득 PGI (원)</t>
  </si>
  <si>
    <t>활성 월임대료 (원/㎡/월)</t>
  </si>
  <si>
    <t>유효총소득 EGI (원)</t>
  </si>
  <si>
    <t>운영경비 (원)</t>
  </si>
  <si>
    <t>활성 기타수입(연) (원)</t>
  </si>
  <si>
    <t>Reserve (원)</t>
  </si>
  <si>
    <t>NOI (원)</t>
  </si>
  <si>
    <t>직접환원가액 (원)</t>
  </si>
  <si>
    <t>5개년 DCF</t>
  </si>
  <si>
    <t>Year 1</t>
  </si>
  <si>
    <t>Year 2</t>
  </si>
  <si>
    <t>Year 3</t>
  </si>
  <si>
    <t>Year 4</t>
  </si>
  <si>
    <t>Year 5</t>
  </si>
  <si>
    <t>잠재총소득 PGI</t>
  </si>
  <si>
    <t>유효총소득 EGI</t>
  </si>
  <si>
    <t>운영경비</t>
  </si>
  <si>
    <t>Reserve</t>
  </si>
  <si>
    <t>NOI</t>
  </si>
  <si>
    <t>할인계수</t>
  </si>
  <si>
    <t>NOI 현재가치</t>
  </si>
  <si>
    <t>말기복귀가치</t>
  </si>
  <si>
    <t>복귀가치 현재가치</t>
  </si>
  <si>
    <t>DCF 가치 (원)</t>
  </si>
  <si>
    <t>수익방식 최종 시산가액</t>
  </si>
  <si>
    <t>시산가액 조정 및 최종가액</t>
  </si>
  <si>
    <t>방식</t>
  </si>
  <si>
    <t>가중가액</t>
  </si>
  <si>
    <t>비교방식</t>
  </si>
  <si>
    <t>원가방식</t>
  </si>
  <si>
    <t>수익방식</t>
  </si>
  <si>
    <t>가중치 합계</t>
  </si>
  <si>
    <t>최종 조정가액</t>
  </si>
  <si>
    <t>체크</t>
  </si>
  <si>
    <t>사정보정</t>
    <phoneticPr fontId="14" type="noConversion"/>
  </si>
  <si>
    <t>KAPA HUB</t>
    <phoneticPr fontId="14" type="noConversion"/>
  </si>
  <si>
    <t>KAIS</t>
    <phoneticPr fontId="14" type="noConversion"/>
  </si>
  <si>
    <t>Year 6</t>
    <phoneticPr fontId="14" type="noConversion"/>
  </si>
  <si>
    <r>
      <rPr>
        <i/>
        <sz val="11"/>
        <color rgb="FFC00000"/>
        <rFont val="맑은 고딕"/>
        <family val="3"/>
        <charset val="129"/>
      </rPr>
      <t>※</t>
    </r>
    <r>
      <rPr>
        <i/>
        <sz val="11"/>
        <color rgb="FFC00000"/>
        <rFont val="Calibri"/>
        <family val="2"/>
      </rPr>
      <t xml:space="preserve"> </t>
    </r>
    <r>
      <rPr>
        <i/>
        <sz val="11"/>
        <color rgb="FFC00000"/>
        <rFont val="맑은 고딕"/>
        <family val="3"/>
        <charset val="129"/>
      </rPr>
      <t>노란색</t>
    </r>
    <r>
      <rPr>
        <i/>
        <sz val="11"/>
        <color rgb="FFC00000"/>
        <rFont val="Calibri"/>
        <family val="2"/>
      </rPr>
      <t>/</t>
    </r>
    <r>
      <rPr>
        <i/>
        <sz val="11"/>
        <color rgb="FFC00000"/>
        <rFont val="맑은 고딕"/>
        <family val="3"/>
        <charset val="129"/>
      </rPr>
      <t>파란색</t>
    </r>
    <r>
      <rPr>
        <i/>
        <sz val="11"/>
        <color rgb="FFC00000"/>
        <rFont val="Calibri"/>
        <family val="2"/>
      </rPr>
      <t xml:space="preserve"> </t>
    </r>
    <r>
      <rPr>
        <i/>
        <sz val="11"/>
        <color rgb="FFC00000"/>
        <rFont val="맑은 고딕"/>
        <family val="3"/>
        <charset val="129"/>
      </rPr>
      <t>셀은</t>
    </r>
    <r>
      <rPr>
        <i/>
        <sz val="11"/>
        <color rgb="FFC00000"/>
        <rFont val="Calibri"/>
        <family val="2"/>
      </rPr>
      <t xml:space="preserve"> </t>
    </r>
    <r>
      <rPr>
        <i/>
        <sz val="11"/>
        <color rgb="FFC00000"/>
        <rFont val="맑은 고딕"/>
        <family val="3"/>
        <charset val="129"/>
      </rPr>
      <t>입력값</t>
    </r>
    <phoneticPr fontId="14" type="noConversion"/>
  </si>
  <si>
    <r>
      <t>가로</t>
    </r>
    <r>
      <rPr>
        <sz val="11"/>
        <color theme="1"/>
        <rFont val="Calibri"/>
        <family val="2"/>
        <scheme val="minor"/>
      </rPr>
      <t>: 폭·구조·포장·보도·계통·연속성</t>
    </r>
  </si>
  <si>
    <r>
      <t>접근</t>
    </r>
    <r>
      <rPr>
        <sz val="11"/>
        <color theme="1"/>
        <rFont val="Calibri"/>
        <family val="2"/>
        <scheme val="minor"/>
      </rPr>
      <t>: 중심접근성·교통편의</t>
    </r>
  </si>
  <si>
    <r>
      <t>환경</t>
    </r>
    <r>
      <rPr>
        <sz val="11"/>
        <color theme="1"/>
        <rFont val="Calibri"/>
        <family val="2"/>
        <scheme val="minor"/>
      </rPr>
      <t>: 상권/배후·주변환경·자연환경·공급처리시설·혐오시설·성숙도</t>
    </r>
  </si>
  <si>
    <r>
      <t>획지</t>
    </r>
    <r>
      <rPr>
        <sz val="11"/>
        <color theme="1"/>
        <rFont val="Calibri"/>
        <family val="2"/>
        <scheme val="minor"/>
      </rPr>
      <t>: 면적·형상·방위·고저·경사·접면상태·각지</t>
    </r>
  </si>
  <si>
    <r>
      <t>행정</t>
    </r>
    <r>
      <rPr>
        <sz val="11"/>
        <color theme="1"/>
        <rFont val="Calibri"/>
        <family val="2"/>
        <scheme val="minor"/>
      </rPr>
      <t>: 용도지역·지구·구역·용적/고도·기타규제</t>
    </r>
  </si>
  <si>
    <r>
      <t>기타</t>
    </r>
    <r>
      <rPr>
        <sz val="11"/>
        <color theme="1"/>
        <rFont val="Calibri"/>
        <family val="2"/>
        <scheme val="minor"/>
      </rPr>
      <t>: 장래동향·특수사정</t>
    </r>
  </si>
  <si>
    <t>상세물건번호</t>
  </si>
  <si>
    <t>시군구</t>
  </si>
  <si>
    <t>소재지</t>
  </si>
  <si>
    <t>지번</t>
  </si>
  <si>
    <t>상세물건구분</t>
  </si>
  <si>
    <t>지목</t>
  </si>
  <si>
    <t>용도지역</t>
  </si>
  <si>
    <t>거래시점</t>
  </si>
  <si>
    <t>전체면적</t>
  </si>
  <si>
    <t>전용면적</t>
  </si>
  <si>
    <t>물건금액</t>
  </si>
  <si>
    <t>단가</t>
  </si>
  <si>
    <t>사용승인일자</t>
  </si>
  <si>
    <t>건물</t>
  </si>
  <si>
    <t>대</t>
  </si>
  <si>
    <t>토지</t>
  </si>
  <si>
    <t>공시지가</t>
  </si>
  <si>
    <t>선택</t>
  </si>
  <si>
    <t>공시
년도</t>
  </si>
  <si>
    <t>지역
코드</t>
  </si>
  <si>
    <t>일련
번호</t>
  </si>
  <si>
    <t>면적</t>
  </si>
  <si>
    <t>일단구분</t>
  </si>
  <si>
    <t>이용상황</t>
  </si>
  <si>
    <t>이용상황기타</t>
  </si>
  <si>
    <t>주위환경</t>
  </si>
  <si>
    <t>주위환경기타</t>
  </si>
  <si>
    <t>도로교통</t>
  </si>
  <si>
    <t>형상</t>
  </si>
  <si>
    <t>지세</t>
  </si>
  <si>
    <t>방위</t>
  </si>
  <si>
    <t>전년지가</t>
  </si>
  <si>
    <r>
      <t>2021</t>
    </r>
    <r>
      <rPr>
        <sz val="11"/>
        <color theme="1"/>
        <rFont val="Calibri"/>
        <family val="3"/>
        <charset val="129"/>
        <scheme val="minor"/>
      </rPr>
      <t>년</t>
    </r>
  </si>
  <si>
    <t>계획시설</t>
  </si>
  <si>
    <t>저촉률</t>
  </si>
  <si>
    <t>용도지구</t>
  </si>
  <si>
    <t>임야구분</t>
  </si>
  <si>
    <t>농지구분</t>
  </si>
  <si>
    <t>유해철도</t>
  </si>
  <si>
    <t>유해하수</t>
  </si>
  <si>
    <t>경지정리</t>
  </si>
  <si>
    <t>옥도구분</t>
  </si>
  <si>
    <t>호가</t>
  </si>
  <si>
    <t>대규모
사업방식</t>
  </si>
  <si>
    <t>대규모
사업단계</t>
  </si>
  <si>
    <t>기타제한
기타</t>
  </si>
  <si>
    <t>기타제한
저촉률</t>
  </si>
  <si>
    <r>
      <t>A</t>
    </r>
    <r>
      <rPr>
        <sz val="11"/>
        <color theme="1"/>
        <rFont val="Calibri"/>
        <family val="3"/>
        <charset val="129"/>
        <scheme val="minor"/>
      </rPr>
      <t>법인</t>
    </r>
  </si>
  <si>
    <r>
      <t>B</t>
    </r>
    <r>
      <rPr>
        <sz val="11"/>
        <color theme="1"/>
        <rFont val="Calibri"/>
        <family val="3"/>
        <charset val="129"/>
        <scheme val="minor"/>
      </rPr>
      <t>법인</t>
    </r>
  </si>
  <si>
    <t>실거래</t>
  </si>
  <si>
    <t>토지
등기</t>
  </si>
  <si>
    <t>건물
등기</t>
  </si>
  <si>
    <t>토지
대장</t>
  </si>
  <si>
    <t>건축물
대장</t>
  </si>
  <si>
    <t>토지이용
계획</t>
  </si>
  <si>
    <t>지적도</t>
  </si>
  <si>
    <t>토이계</t>
  </si>
  <si>
    <t>Checked</t>
  </si>
  <si>
    <t>없음</t>
  </si>
  <si>
    <t>평지</t>
  </si>
  <si>
    <t>y</t>
  </si>
  <si>
    <t>n</t>
  </si>
  <si>
    <t>Is Selected</t>
  </si>
  <si>
    <t>평가목적</t>
  </si>
  <si>
    <t>복사</t>
  </si>
  <si>
    <t>연도</t>
  </si>
  <si>
    <t>물건</t>
  </si>
  <si>
    <t>기준시점</t>
  </si>
  <si>
    <t>감정평가총액</t>
  </si>
  <si>
    <r>
      <t>(</t>
    </r>
    <r>
      <rPr>
        <sz val="11"/>
        <color theme="1"/>
        <rFont val="Calibri"/>
        <family val="3"/>
        <charset val="129"/>
        <scheme val="minor"/>
      </rPr>
      <t>개별</t>
    </r>
    <r>
      <rPr>
        <sz val="11"/>
        <color theme="1"/>
        <rFont val="Calibri"/>
        <family val="2"/>
        <scheme val="minor"/>
      </rPr>
      <t xml:space="preserve">)
</t>
    </r>
    <r>
      <rPr>
        <sz val="11"/>
        <color theme="1"/>
        <rFont val="Calibri"/>
        <family val="3"/>
        <charset val="129"/>
        <scheme val="minor"/>
      </rPr>
      <t>공시연도</t>
    </r>
  </si>
  <si>
    <r>
      <t>(</t>
    </r>
    <r>
      <rPr>
        <sz val="11"/>
        <color theme="1"/>
        <rFont val="Calibri"/>
        <family val="3"/>
        <charset val="129"/>
        <scheme val="minor"/>
      </rPr>
      <t>개별</t>
    </r>
    <r>
      <rPr>
        <sz val="11"/>
        <color theme="1"/>
        <rFont val="Calibri"/>
        <family val="2"/>
        <scheme val="minor"/>
      </rPr>
      <t xml:space="preserve">)
</t>
    </r>
    <r>
      <rPr>
        <sz val="11"/>
        <color theme="1"/>
        <rFont val="Calibri"/>
        <family val="3"/>
        <charset val="129"/>
        <scheme val="minor"/>
      </rPr>
      <t>공시지가</t>
    </r>
  </si>
  <si>
    <r>
      <t>(</t>
    </r>
    <r>
      <rPr>
        <sz val="11"/>
        <color theme="1"/>
        <rFont val="Calibri"/>
        <family val="3"/>
        <charset val="129"/>
        <scheme val="minor"/>
      </rPr>
      <t>개별</t>
    </r>
    <r>
      <rPr>
        <sz val="11"/>
        <color theme="1"/>
        <rFont val="Calibri"/>
        <family val="2"/>
        <scheme val="minor"/>
      </rPr>
      <t xml:space="preserve">)
</t>
    </r>
    <r>
      <rPr>
        <sz val="11"/>
        <color theme="1"/>
        <rFont val="Calibri"/>
        <family val="3"/>
        <charset val="129"/>
        <scheme val="minor"/>
      </rPr>
      <t>지목</t>
    </r>
  </si>
  <si>
    <r>
      <t>(</t>
    </r>
    <r>
      <rPr>
        <sz val="11"/>
        <color theme="1"/>
        <rFont val="Calibri"/>
        <family val="3"/>
        <charset val="129"/>
        <scheme val="minor"/>
      </rPr>
      <t>개별</t>
    </r>
    <r>
      <rPr>
        <sz val="11"/>
        <color theme="1"/>
        <rFont val="Calibri"/>
        <family val="2"/>
        <scheme val="minor"/>
      </rPr>
      <t xml:space="preserve">)
</t>
    </r>
    <r>
      <rPr>
        <sz val="11"/>
        <color theme="1"/>
        <rFont val="Calibri"/>
        <family val="3"/>
        <charset val="129"/>
        <scheme val="minor"/>
      </rPr>
      <t>이용상황</t>
    </r>
  </si>
  <si>
    <r>
      <t>(</t>
    </r>
    <r>
      <rPr>
        <sz val="11"/>
        <color theme="1"/>
        <rFont val="Calibri"/>
        <family val="3"/>
        <charset val="129"/>
        <scheme val="minor"/>
      </rPr>
      <t>개별</t>
    </r>
    <r>
      <rPr>
        <sz val="11"/>
        <color theme="1"/>
        <rFont val="Calibri"/>
        <family val="2"/>
        <scheme val="minor"/>
      </rPr>
      <t xml:space="preserve">)
</t>
    </r>
    <r>
      <rPr>
        <sz val="11"/>
        <color theme="1"/>
        <rFont val="Calibri"/>
        <family val="3"/>
        <charset val="129"/>
        <scheme val="minor"/>
      </rPr>
      <t>용도지역</t>
    </r>
  </si>
  <si>
    <r>
      <t>(</t>
    </r>
    <r>
      <rPr>
        <sz val="11"/>
        <color theme="1"/>
        <rFont val="Calibri"/>
        <family val="3"/>
        <charset val="129"/>
        <scheme val="minor"/>
      </rPr>
      <t>개별</t>
    </r>
    <r>
      <rPr>
        <sz val="11"/>
        <color theme="1"/>
        <rFont val="Calibri"/>
        <family val="2"/>
        <scheme val="minor"/>
      </rPr>
      <t xml:space="preserve">)
</t>
    </r>
    <r>
      <rPr>
        <sz val="11"/>
        <color theme="1"/>
        <rFont val="Calibri"/>
        <family val="3"/>
        <charset val="129"/>
        <scheme val="minor"/>
      </rPr>
      <t>도로교통</t>
    </r>
  </si>
  <si>
    <r>
      <t>(</t>
    </r>
    <r>
      <rPr>
        <sz val="11"/>
        <color theme="1"/>
        <rFont val="Calibri"/>
        <family val="3"/>
        <charset val="129"/>
        <scheme val="minor"/>
      </rPr>
      <t>개별</t>
    </r>
    <r>
      <rPr>
        <sz val="11"/>
        <color theme="1"/>
        <rFont val="Calibri"/>
        <family val="2"/>
        <scheme val="minor"/>
      </rPr>
      <t xml:space="preserve">)
</t>
    </r>
    <r>
      <rPr>
        <sz val="11"/>
        <color theme="1"/>
        <rFont val="Calibri"/>
        <family val="3"/>
        <charset val="129"/>
        <scheme val="minor"/>
      </rPr>
      <t>형상</t>
    </r>
  </si>
  <si>
    <r>
      <t>(</t>
    </r>
    <r>
      <rPr>
        <sz val="11"/>
        <color theme="1"/>
        <rFont val="Calibri"/>
        <family val="3"/>
        <charset val="129"/>
        <scheme val="minor"/>
      </rPr>
      <t>개별</t>
    </r>
    <r>
      <rPr>
        <sz val="11"/>
        <color theme="1"/>
        <rFont val="Calibri"/>
        <family val="2"/>
        <scheme val="minor"/>
      </rPr>
      <t xml:space="preserve">)
</t>
    </r>
    <r>
      <rPr>
        <sz val="11"/>
        <color theme="1"/>
        <rFont val="Calibri"/>
        <family val="3"/>
        <charset val="129"/>
        <scheme val="minor"/>
      </rPr>
      <t>지세</t>
    </r>
  </si>
  <si>
    <t>등록구분</t>
  </si>
  <si>
    <t>건명</t>
  </si>
  <si>
    <t>감정서</t>
  </si>
  <si>
    <t>감정서
쪽수</t>
  </si>
  <si>
    <t>거래
사례</t>
  </si>
  <si>
    <t>회원사</t>
  </si>
  <si>
    <t>회원사명</t>
  </si>
  <si>
    <r>
      <rPr>
        <b/>
        <sz val="11"/>
        <color rgb="FF666666"/>
        <rFont val="맑은 고딕"/>
        <family val="3"/>
        <charset val="129"/>
      </rPr>
      <t>건물</t>
    </r>
    <r>
      <rPr>
        <b/>
        <sz val="11"/>
        <color rgb="FF666666"/>
        <rFont val="Calibri"/>
        <family val="2"/>
      </rPr>
      <t xml:space="preserve"> </t>
    </r>
    <r>
      <rPr>
        <b/>
        <sz val="11"/>
        <color rgb="FF666666"/>
        <rFont val="맑은 고딕"/>
        <family val="3"/>
        <charset val="129"/>
      </rPr>
      <t>신축단가(재조달원가)</t>
    </r>
    <r>
      <rPr>
        <b/>
        <sz val="11"/>
        <color rgb="FF666666"/>
        <rFont val="Calibri"/>
        <family val="2"/>
      </rPr>
      <t xml:space="preserve"> (</t>
    </r>
    <r>
      <rPr>
        <b/>
        <sz val="11"/>
        <color rgb="FF666666"/>
        <rFont val="맑은 고딕"/>
        <family val="3"/>
        <charset val="129"/>
      </rPr>
      <t>원</t>
    </r>
    <r>
      <rPr>
        <b/>
        <sz val="11"/>
        <color rgb="FF666666"/>
        <rFont val="Calibri"/>
        <family val="2"/>
      </rPr>
      <t>/</t>
    </r>
    <r>
      <rPr>
        <b/>
        <sz val="11"/>
        <color rgb="FF666666"/>
        <rFont val="Segoe UI Symbol"/>
        <family val="2"/>
      </rPr>
      <t>㎡</t>
    </r>
    <r>
      <rPr>
        <b/>
        <sz val="11"/>
        <color rgb="FF666666"/>
        <rFont val="Calibri"/>
        <family val="2"/>
      </rPr>
      <t>)</t>
    </r>
    <phoneticPr fontId="14" type="noConversion"/>
  </si>
  <si>
    <r>
      <rPr>
        <b/>
        <sz val="11"/>
        <color rgb="FF666666"/>
        <rFont val="맑은 고딕"/>
        <family val="3"/>
        <charset val="129"/>
      </rPr>
      <t>수익방식 시나리오</t>
    </r>
    <r>
      <rPr>
        <b/>
        <sz val="11"/>
        <color rgb="FF666666"/>
        <rFont val="Calibri"/>
        <family val="2"/>
      </rPr>
      <t xml:space="preserve"> </t>
    </r>
    <r>
      <rPr>
        <b/>
        <sz val="11"/>
        <color rgb="FF666666"/>
        <rFont val="맑은 고딕"/>
        <family val="2"/>
        <charset val="129"/>
      </rPr>
      <t xml:space="preserve">가정 </t>
    </r>
    <r>
      <rPr>
        <b/>
        <sz val="11"/>
        <color rgb="FF666666"/>
        <rFont val="Calibri"/>
        <family val="2"/>
      </rPr>
      <t>(1~3)</t>
    </r>
    <phoneticPr fontId="14" type="noConversion"/>
  </si>
  <si>
    <t>지역요인</t>
    <phoneticPr fontId="14" type="noConversion"/>
  </si>
  <si>
    <t>개별요인</t>
    <phoneticPr fontId="14" type="noConversion"/>
  </si>
  <si>
    <r>
      <rPr>
        <i/>
        <sz val="11"/>
        <color rgb="FF666666"/>
        <rFont val="맑은 고딕"/>
        <family val="3"/>
        <charset val="129"/>
      </rPr>
      <t>보정단가</t>
    </r>
    <r>
      <rPr>
        <i/>
        <sz val="11"/>
        <color rgb="FF666666"/>
        <rFont val="Calibri"/>
        <family val="2"/>
      </rPr>
      <t xml:space="preserve"> = </t>
    </r>
    <r>
      <rPr>
        <i/>
        <sz val="11"/>
        <color rgb="FF666666"/>
        <rFont val="맑은 고딕"/>
        <family val="3"/>
        <charset val="129"/>
      </rPr>
      <t>거래단가</t>
    </r>
    <r>
      <rPr>
        <i/>
        <sz val="11"/>
        <color rgb="FF666666"/>
        <rFont val="Calibri"/>
        <family val="2"/>
      </rPr>
      <t xml:space="preserve"> × </t>
    </r>
    <r>
      <rPr>
        <i/>
        <sz val="11"/>
        <color rgb="FF666666"/>
        <rFont val="맑은 고딕"/>
        <family val="3"/>
        <charset val="129"/>
      </rPr>
      <t>시점보정</t>
    </r>
    <r>
      <rPr>
        <i/>
        <sz val="11"/>
        <color rgb="FF666666"/>
        <rFont val="Calibri"/>
        <family val="2"/>
      </rPr>
      <t xml:space="preserve"> × </t>
    </r>
    <r>
      <rPr>
        <i/>
        <sz val="11"/>
        <color rgb="FF666666"/>
        <rFont val="맑은 고딕"/>
        <family val="3"/>
        <charset val="129"/>
      </rPr>
      <t xml:space="preserve">지역요인 </t>
    </r>
    <r>
      <rPr>
        <i/>
        <sz val="11"/>
        <color rgb="FF666666"/>
        <rFont val="Calibri"/>
        <family val="2"/>
      </rPr>
      <t xml:space="preserve">× </t>
    </r>
    <r>
      <rPr>
        <i/>
        <sz val="11"/>
        <color rgb="FF666666"/>
        <rFont val="맑은 고딕"/>
        <family val="3"/>
        <charset val="129"/>
      </rPr>
      <t>개별요인</t>
    </r>
    <r>
      <rPr>
        <i/>
        <sz val="11"/>
        <color rgb="FF666666"/>
        <rFont val="Calibri"/>
        <family val="2"/>
      </rPr>
      <t xml:space="preserve"> × </t>
    </r>
    <r>
      <rPr>
        <i/>
        <sz val="11"/>
        <color rgb="FF666666"/>
        <rFont val="맑은 고딕"/>
        <family val="3"/>
        <charset val="129"/>
      </rPr>
      <t>일체효용비교</t>
    </r>
    <phoneticPr fontId="14" type="noConversion"/>
  </si>
  <si>
    <t>일체효용비교</t>
    <phoneticPr fontId="14" type="noConversion"/>
  </si>
  <si>
    <t>토지</t>
    <phoneticPr fontId="14" type="noConversion"/>
  </si>
  <si>
    <t>건물</t>
    <phoneticPr fontId="14" type="noConversion"/>
  </si>
  <si>
    <t>합계</t>
    <phoneticPr fontId="14" type="noConversion"/>
  </si>
  <si>
    <t>가로</t>
    <phoneticPr fontId="14" type="noConversion"/>
  </si>
  <si>
    <t>접근</t>
    <phoneticPr fontId="14" type="noConversion"/>
  </si>
  <si>
    <t>환경</t>
    <phoneticPr fontId="14" type="noConversion"/>
  </si>
  <si>
    <t>획지</t>
    <phoneticPr fontId="14" type="noConversion"/>
  </si>
  <si>
    <t>행정</t>
    <phoneticPr fontId="14" type="noConversion"/>
  </si>
  <si>
    <t>기타</t>
    <phoneticPr fontId="14" type="noConversion"/>
  </si>
  <si>
    <t>연식</t>
    <phoneticPr fontId="14" type="noConversion"/>
  </si>
  <si>
    <t>구조</t>
    <phoneticPr fontId="14" type="noConversion"/>
  </si>
  <si>
    <t>규모</t>
    <phoneticPr fontId="14" type="noConversion"/>
  </si>
  <si>
    <t>설비</t>
    <phoneticPr fontId="14" type="noConversion"/>
  </si>
  <si>
    <t>시공질</t>
    <phoneticPr fontId="14" type="noConversion"/>
  </si>
  <si>
    <t>주차장</t>
    <phoneticPr fontId="14" type="noConversion"/>
  </si>
  <si>
    <r>
      <rPr>
        <b/>
        <sz val="11"/>
        <color rgb="FF666666"/>
        <rFont val="맑은 고딕"/>
        <family val="3"/>
        <charset val="129"/>
      </rPr>
      <t>활성</t>
    </r>
    <r>
      <rPr>
        <b/>
        <sz val="11"/>
        <color rgb="FF666666"/>
        <rFont val="Calibri"/>
        <family val="2"/>
      </rPr>
      <t xml:space="preserve"> </t>
    </r>
    <r>
      <rPr>
        <b/>
        <sz val="11"/>
        <color rgb="FF666666"/>
        <rFont val="맑은 고딕"/>
        <family val="3"/>
        <charset val="129"/>
      </rPr>
      <t>연간</t>
    </r>
    <r>
      <rPr>
        <b/>
        <sz val="11"/>
        <color rgb="FF666666"/>
        <rFont val="Calibri"/>
        <family val="2"/>
      </rPr>
      <t xml:space="preserve"> Reserve (</t>
    </r>
    <r>
      <rPr>
        <b/>
        <sz val="11"/>
        <color rgb="FF666666"/>
        <rFont val="맑은 고딕"/>
        <family val="3"/>
        <charset val="129"/>
      </rPr>
      <t>원</t>
    </r>
    <r>
      <rPr>
        <b/>
        <sz val="11"/>
        <color rgb="FF666666"/>
        <rFont val="Calibri"/>
        <family val="2"/>
      </rPr>
      <t>)</t>
    </r>
    <phoneticPr fontId="14" type="noConversion"/>
  </si>
  <si>
    <r>
      <rPr>
        <sz val="11"/>
        <color rgb="FF000000"/>
        <rFont val="맑은 고딕"/>
        <family val="3"/>
        <charset val="129"/>
      </rPr>
      <t>기타요인보정치</t>
    </r>
    <r>
      <rPr>
        <sz val="11"/>
        <color rgb="FF000000"/>
        <rFont val="Calibri"/>
        <family val="2"/>
      </rPr>
      <t xml:space="preserve"> = </t>
    </r>
    <r>
      <rPr>
        <sz val="11"/>
        <color rgb="FF000000"/>
        <rFont val="맑은 고딕"/>
        <family val="3"/>
        <charset val="129"/>
      </rPr>
      <t>선례기준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산정가격</t>
    </r>
    <r>
      <rPr>
        <sz val="11"/>
        <color rgb="FF000000"/>
        <rFont val="Calibri"/>
        <family val="2"/>
      </rPr>
      <t xml:space="preserve"> ÷ </t>
    </r>
    <r>
      <rPr>
        <sz val="11"/>
        <color rgb="FF000000"/>
        <rFont val="맑은 고딕"/>
        <family val="3"/>
        <charset val="129"/>
      </rPr>
      <t>비교표준지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기준가격</t>
    </r>
    <phoneticPr fontId="14" type="noConversion"/>
  </si>
  <si>
    <t>용도지역1</t>
  </si>
  <si>
    <t>용도지역2</t>
  </si>
  <si>
    <t>지리적위치1</t>
  </si>
  <si>
    <t>지리적위치2</t>
  </si>
  <si>
    <t>기타제한1</t>
  </si>
  <si>
    <t>기타제한2</t>
  </si>
  <si>
    <t>용도지구2</t>
  </si>
  <si>
    <t>용도1
면적</t>
  </si>
  <si>
    <t>용도1가격</t>
  </si>
  <si>
    <t>용도2
면적</t>
  </si>
  <si>
    <t>용도2가격</t>
  </si>
  <si>
    <t>특수제한1</t>
  </si>
  <si>
    <t>특수제한2</t>
  </si>
  <si>
    <t>기타제한
저촉률(제주)</t>
  </si>
  <si>
    <t>1038-5</t>
  </si>
  <si>
    <t>답</t>
  </si>
  <si>
    <t>농림지역</t>
  </si>
  <si>
    <t>순수 경지정리지대</t>
  </si>
  <si>
    <t>송담마을</t>
  </si>
  <si>
    <t>남서측인근</t>
  </si>
  <si>
    <t>세로(가)</t>
  </si>
  <si>
    <t>세장형</t>
  </si>
  <si>
    <t>농업진흥구역</t>
  </si>
  <si>
    <t>비옥</t>
  </si>
  <si>
    <r>
      <t xml:space="preserve"> </t>
    </r>
    <r>
      <rPr>
        <sz val="11"/>
        <color theme="1"/>
        <rFont val="Calibri"/>
        <family val="3"/>
        <charset val="129"/>
        <scheme val="minor"/>
      </rPr>
      <t>연동면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송용리</t>
    </r>
  </si>
  <si>
    <r>
      <t>500</t>
    </r>
    <r>
      <rPr>
        <sz val="11"/>
        <color theme="1"/>
        <rFont val="Calibri"/>
        <family val="3"/>
        <charset val="129"/>
        <scheme val="minor"/>
      </rPr>
      <t>ｍ이내</t>
    </r>
  </si>
  <si>
    <t>지번(*)</t>
  </si>
  <si>
    <t>지목/
건물용도</t>
  </si>
  <si>
    <t>용도지역
/구조</t>
  </si>
  <si>
    <t>평가액/면적</t>
  </si>
  <si>
    <t>평가액
(개별)</t>
  </si>
  <si>
    <t>법원경매</t>
  </si>
  <si>
    <t>세종특별자치시 연동면 송용리</t>
  </si>
  <si>
    <t>농림</t>
  </si>
  <si>
    <t>경매AUTO</t>
  </si>
  <si>
    <t xml:space="preserve">세종특별자치시 </t>
  </si>
  <si>
    <t>연동면 송용리</t>
  </si>
  <si>
    <r>
      <t>연동면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송용리</t>
    </r>
  </si>
  <si>
    <r>
      <t>2020</t>
    </r>
    <r>
      <rPr>
        <sz val="11"/>
        <color theme="1"/>
        <rFont val="Calibri"/>
        <family val="3"/>
        <charset val="129"/>
        <scheme val="minor"/>
      </rPr>
      <t>년</t>
    </r>
  </si>
  <si>
    <r>
      <t>2019</t>
    </r>
    <r>
      <rPr>
        <sz val="11"/>
        <color theme="1"/>
        <rFont val="Calibri"/>
        <family val="3"/>
        <charset val="129"/>
        <scheme val="minor"/>
      </rPr>
      <t>년</t>
    </r>
  </si>
  <si>
    <r>
      <t>2018</t>
    </r>
    <r>
      <rPr>
        <sz val="11"/>
        <color theme="1"/>
        <rFont val="Calibri"/>
        <family val="3"/>
        <charset val="129"/>
        <scheme val="minor"/>
      </rPr>
      <t>년</t>
    </r>
  </si>
  <si>
    <t xml:space="preserve"> 1038- 5</t>
  </si>
  <si>
    <t>가축사육제한구역, 비행안전구역</t>
  </si>
  <si>
    <r>
      <t>이상훈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Calibri"/>
        <family val="3"/>
        <charset val="129"/>
        <scheme val="minor"/>
      </rPr>
      <t>삼창충남</t>
    </r>
    <r>
      <rPr>
        <sz val="11"/>
        <color theme="1"/>
        <rFont val="Calibri"/>
        <family val="2"/>
        <scheme val="minor"/>
      </rPr>
      <t>)</t>
    </r>
  </si>
  <si>
    <r>
      <t>김용운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Calibri"/>
        <family val="3"/>
        <charset val="129"/>
        <scheme val="minor"/>
      </rPr>
      <t>경일경기</t>
    </r>
    <r>
      <rPr>
        <sz val="11"/>
        <color theme="1"/>
        <rFont val="Calibri"/>
        <family val="2"/>
        <scheme val="minor"/>
      </rPr>
      <t>)</t>
    </r>
  </si>
  <si>
    <t xml:space="preserve">   960-   1*</t>
  </si>
  <si>
    <t xml:space="preserve">   960-  13</t>
  </si>
  <si>
    <t>세각(가)</t>
  </si>
  <si>
    <t>터***</t>
  </si>
  <si>
    <t>기준시점</t>
    <phoneticPr fontId="14" type="noConversion"/>
  </si>
  <si>
    <t>959-6</t>
  </si>
  <si>
    <r>
      <t>세종특별자치시</t>
    </r>
    <r>
      <rPr>
        <sz val="11"/>
        <color theme="1"/>
        <rFont val="Calibri"/>
        <family val="2"/>
        <scheme val="minor"/>
      </rPr>
      <t xml:space="preserve"> </t>
    </r>
  </si>
  <si>
    <t>시군구명</t>
  </si>
  <si>
    <t>지가변동률</t>
  </si>
  <si>
    <t>계산식</t>
  </si>
  <si>
    <t>세종특별자치시</t>
  </si>
  <si>
    <t>생산관리</t>
  </si>
  <si>
    <t>2026-01-01 ~ 2026-02-28 :   0.427</t>
  </si>
  <si>
    <t>2026-03-01 ~ 2026-04-01 :   0.258</t>
  </si>
  <si>
    <t>( 1 + 0.00427) *</t>
  </si>
  <si>
    <t xml:space="preserve">( 1 + 0.00226 * 32/28) </t>
  </si>
  <si>
    <r>
      <rPr>
        <b/>
        <sz val="11"/>
        <color rgb="FF666666"/>
        <rFont val="맑은 고딕"/>
        <family val="2"/>
        <charset val="129"/>
      </rPr>
      <t>거래사례1</t>
    </r>
    <r>
      <rPr>
        <b/>
        <sz val="11"/>
        <color rgb="FF666666"/>
        <rFont val="Calibri"/>
        <family val="2"/>
      </rPr>
      <t xml:space="preserve"> </t>
    </r>
    <r>
      <rPr>
        <b/>
        <sz val="11"/>
        <color rgb="FF666666"/>
        <rFont val="맑은 고딕"/>
        <family val="3"/>
        <charset val="129"/>
      </rPr>
      <t>건물</t>
    </r>
    <r>
      <rPr>
        <b/>
        <sz val="11"/>
        <color rgb="FF666666"/>
        <rFont val="Calibri"/>
        <family val="2"/>
      </rPr>
      <t xml:space="preserve"> </t>
    </r>
    <r>
      <rPr>
        <b/>
        <sz val="11"/>
        <color rgb="FF666666"/>
        <rFont val="맑은 고딕"/>
        <family val="3"/>
        <charset val="129"/>
      </rPr>
      <t>재조달원가</t>
    </r>
    <r>
      <rPr>
        <b/>
        <sz val="11"/>
        <color rgb="FF666666"/>
        <rFont val="Calibri"/>
        <family val="2"/>
      </rPr>
      <t xml:space="preserve"> (</t>
    </r>
    <r>
      <rPr>
        <b/>
        <sz val="11"/>
        <color rgb="FF666666"/>
        <rFont val="맑은 고딕"/>
        <family val="3"/>
        <charset val="129"/>
      </rPr>
      <t>원</t>
    </r>
    <r>
      <rPr>
        <b/>
        <sz val="11"/>
        <color rgb="FF666666"/>
        <rFont val="Calibri"/>
        <family val="2"/>
      </rPr>
      <t>)</t>
    </r>
    <phoneticPr fontId="14" type="noConversion"/>
  </si>
  <si>
    <r>
      <rPr>
        <b/>
        <sz val="11"/>
        <color rgb="FF666666"/>
        <rFont val="맑은 고딕"/>
        <family val="3"/>
        <charset val="129"/>
      </rPr>
      <t>거래사례</t>
    </r>
    <r>
      <rPr>
        <b/>
        <sz val="11"/>
        <color rgb="FF666666"/>
        <rFont val="Calibri"/>
        <family val="3"/>
      </rPr>
      <t>1</t>
    </r>
    <r>
      <rPr>
        <b/>
        <sz val="11"/>
        <color rgb="FF666666"/>
        <rFont val="Calibri"/>
        <family val="2"/>
      </rPr>
      <t xml:space="preserve"> </t>
    </r>
    <r>
      <rPr>
        <b/>
        <sz val="11"/>
        <color rgb="FF666666"/>
        <rFont val="맑은 고딕"/>
        <family val="3"/>
        <charset val="129"/>
      </rPr>
      <t>건물</t>
    </r>
    <r>
      <rPr>
        <b/>
        <sz val="11"/>
        <color rgb="FF666666"/>
        <rFont val="Calibri"/>
        <family val="2"/>
      </rPr>
      <t xml:space="preserve"> </t>
    </r>
    <r>
      <rPr>
        <b/>
        <sz val="11"/>
        <color rgb="FF666666"/>
        <rFont val="맑은 고딕"/>
        <family val="3"/>
        <charset val="129"/>
      </rPr>
      <t>감가율</t>
    </r>
    <phoneticPr fontId="14" type="noConversion"/>
  </si>
  <si>
    <r>
      <rPr>
        <b/>
        <sz val="11"/>
        <color rgb="FF666666"/>
        <rFont val="맑은 고딕"/>
        <family val="2"/>
        <charset val="129"/>
      </rPr>
      <t>거래사례2</t>
    </r>
    <r>
      <rPr>
        <b/>
        <sz val="11"/>
        <color rgb="FF666666"/>
        <rFont val="Calibri"/>
        <family val="2"/>
      </rPr>
      <t xml:space="preserve"> </t>
    </r>
    <r>
      <rPr>
        <b/>
        <sz val="11"/>
        <color rgb="FF666666"/>
        <rFont val="맑은 고딕"/>
        <family val="3"/>
        <charset val="129"/>
      </rPr>
      <t>건물</t>
    </r>
    <r>
      <rPr>
        <b/>
        <sz val="11"/>
        <color rgb="FF666666"/>
        <rFont val="Calibri"/>
        <family val="2"/>
      </rPr>
      <t xml:space="preserve"> </t>
    </r>
    <r>
      <rPr>
        <b/>
        <sz val="11"/>
        <color rgb="FF666666"/>
        <rFont val="맑은 고딕"/>
        <family val="3"/>
        <charset val="129"/>
      </rPr>
      <t>재조달원가</t>
    </r>
    <r>
      <rPr>
        <b/>
        <sz val="11"/>
        <color rgb="FF666666"/>
        <rFont val="Calibri"/>
        <family val="2"/>
      </rPr>
      <t xml:space="preserve"> (</t>
    </r>
    <r>
      <rPr>
        <b/>
        <sz val="11"/>
        <color rgb="FF666666"/>
        <rFont val="맑은 고딕"/>
        <family val="3"/>
        <charset val="129"/>
      </rPr>
      <t>원</t>
    </r>
    <r>
      <rPr>
        <b/>
        <sz val="11"/>
        <color rgb="FF666666"/>
        <rFont val="Calibri"/>
        <family val="2"/>
      </rPr>
      <t>)</t>
    </r>
    <phoneticPr fontId="14" type="noConversion"/>
  </si>
  <si>
    <r>
      <rPr>
        <b/>
        <sz val="11"/>
        <color rgb="FF666666"/>
        <rFont val="맑은 고딕"/>
        <family val="3"/>
        <charset val="129"/>
      </rPr>
      <t>거래사례</t>
    </r>
    <r>
      <rPr>
        <b/>
        <sz val="11"/>
        <color rgb="FF666666"/>
        <rFont val="Calibri"/>
        <family val="3"/>
      </rPr>
      <t>2</t>
    </r>
    <r>
      <rPr>
        <b/>
        <sz val="11"/>
        <color rgb="FF666666"/>
        <rFont val="Calibri"/>
        <family val="2"/>
      </rPr>
      <t xml:space="preserve"> </t>
    </r>
    <r>
      <rPr>
        <b/>
        <sz val="11"/>
        <color rgb="FF666666"/>
        <rFont val="맑은 고딕"/>
        <family val="3"/>
        <charset val="129"/>
      </rPr>
      <t>건물</t>
    </r>
    <r>
      <rPr>
        <b/>
        <sz val="11"/>
        <color rgb="FF666666"/>
        <rFont val="Calibri"/>
        <family val="2"/>
      </rPr>
      <t xml:space="preserve"> </t>
    </r>
    <r>
      <rPr>
        <b/>
        <sz val="11"/>
        <color rgb="FF666666"/>
        <rFont val="맑은 고딕"/>
        <family val="3"/>
        <charset val="129"/>
      </rPr>
      <t>감가율</t>
    </r>
    <phoneticPr fontId="14" type="noConversion"/>
  </si>
  <si>
    <r>
      <rPr>
        <b/>
        <sz val="11"/>
        <color rgb="FF666666"/>
        <rFont val="맑은 고딕"/>
        <family val="2"/>
        <charset val="129"/>
      </rPr>
      <t>거래사례3</t>
    </r>
    <r>
      <rPr>
        <b/>
        <sz val="11"/>
        <color rgb="FF666666"/>
        <rFont val="Calibri"/>
        <family val="2"/>
      </rPr>
      <t xml:space="preserve"> </t>
    </r>
    <r>
      <rPr>
        <b/>
        <sz val="11"/>
        <color rgb="FF666666"/>
        <rFont val="맑은 고딕"/>
        <family val="3"/>
        <charset val="129"/>
      </rPr>
      <t>건물</t>
    </r>
    <r>
      <rPr>
        <b/>
        <sz val="11"/>
        <color rgb="FF666666"/>
        <rFont val="Calibri"/>
        <family val="2"/>
      </rPr>
      <t xml:space="preserve"> </t>
    </r>
    <r>
      <rPr>
        <b/>
        <sz val="11"/>
        <color rgb="FF666666"/>
        <rFont val="맑은 고딕"/>
        <family val="3"/>
        <charset val="129"/>
      </rPr>
      <t>재조달원가</t>
    </r>
    <r>
      <rPr>
        <b/>
        <sz val="11"/>
        <color rgb="FF666666"/>
        <rFont val="Calibri"/>
        <family val="2"/>
      </rPr>
      <t xml:space="preserve"> (</t>
    </r>
    <r>
      <rPr>
        <b/>
        <sz val="11"/>
        <color rgb="FF666666"/>
        <rFont val="맑은 고딕"/>
        <family val="3"/>
        <charset val="129"/>
      </rPr>
      <t>원</t>
    </r>
    <r>
      <rPr>
        <b/>
        <sz val="11"/>
        <color rgb="FF666666"/>
        <rFont val="Calibri"/>
        <family val="2"/>
      </rPr>
      <t>)</t>
    </r>
    <phoneticPr fontId="14" type="noConversion"/>
  </si>
  <si>
    <r>
      <rPr>
        <b/>
        <sz val="11"/>
        <color rgb="FF666666"/>
        <rFont val="맑은 고딕"/>
        <family val="3"/>
        <charset val="129"/>
      </rPr>
      <t>거래사례</t>
    </r>
    <r>
      <rPr>
        <b/>
        <sz val="11"/>
        <color rgb="FF666666"/>
        <rFont val="Calibri"/>
        <family val="3"/>
      </rPr>
      <t>3</t>
    </r>
    <r>
      <rPr>
        <b/>
        <sz val="11"/>
        <color rgb="FF666666"/>
        <rFont val="Calibri"/>
        <family val="2"/>
      </rPr>
      <t xml:space="preserve"> </t>
    </r>
    <r>
      <rPr>
        <b/>
        <sz val="11"/>
        <color rgb="FF666666"/>
        <rFont val="맑은 고딕"/>
        <family val="3"/>
        <charset val="129"/>
      </rPr>
      <t>건물</t>
    </r>
    <r>
      <rPr>
        <b/>
        <sz val="11"/>
        <color rgb="FF666666"/>
        <rFont val="Calibri"/>
        <family val="2"/>
      </rPr>
      <t xml:space="preserve"> </t>
    </r>
    <r>
      <rPr>
        <b/>
        <sz val="11"/>
        <color rgb="FF666666"/>
        <rFont val="맑은 고딕"/>
        <family val="3"/>
        <charset val="129"/>
      </rPr>
      <t>감가율</t>
    </r>
    <phoneticPr fontId="14" type="noConversion"/>
  </si>
  <si>
    <t>서울특별시 중구</t>
  </si>
  <si>
    <t xml:space="preserve"> 신당동</t>
  </si>
  <si>
    <t>304-242</t>
  </si>
  <si>
    <t>제2종일반주거지역</t>
  </si>
  <si>
    <t>건물재조달원가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</si>
</sst>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,##0;[Red]\(#,##0\);\-"/>
    <numFmt numFmtId="177" formatCode="0.0%"/>
    <numFmt numFmtId="178" formatCode="0.000\x"/>
    <numFmt numFmtId="179" formatCode="0.0000"/>
    <numFmt numFmtId="180" formatCode="0.000"/>
    <numFmt numFmtId="181" formatCode="#,##0.00000"/>
    <numFmt numFmtId="182" formatCode="0_);[Red]\(0\)"/>
    <numFmt numFmtId="183" formatCode="#,##0.0"/>
    <numFmt numFmtId="184" formatCode="0.00000"/>
  </numFmts>
  <fonts count="36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name val="Calibri"/>
      <family val="2"/>
    </font>
    <font>
      <b/>
      <sz val="11"/>
      <color rgb="FF666666"/>
      <name val="Calibri"/>
      <family val="2"/>
    </font>
    <font>
      <sz val="11"/>
      <color rgb="FF0000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C00000"/>
      <name val="Calibri"/>
      <family val="2"/>
    </font>
    <font>
      <i/>
      <sz val="11"/>
      <color rgb="FF666666"/>
      <name val="Calibri"/>
      <family val="2"/>
    </font>
    <font>
      <b/>
      <sz val="12"/>
      <name val="Calibri"/>
      <family val="2"/>
    </font>
    <font>
      <b/>
      <sz val="11"/>
      <color rgb="FFC00000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C00000"/>
      <name val="맑은 고딕"/>
      <family val="3"/>
      <charset val="129"/>
    </font>
    <font>
      <i/>
      <sz val="11"/>
      <color rgb="FFC00000"/>
      <name val="Calibri"/>
      <family val="3"/>
      <charset val="129"/>
    </font>
    <font>
      <sz val="11"/>
      <color theme="1"/>
      <name val="Calibri"/>
      <family val="3"/>
      <charset val="129"/>
      <scheme val="minor"/>
    </font>
    <font>
      <b/>
      <sz val="11"/>
      <color rgb="FF666666"/>
      <name val="맑은 고딕"/>
      <family val="2"/>
      <charset val="129"/>
    </font>
    <font>
      <b/>
      <sz val="11"/>
      <color rgb="FF666666"/>
      <name val="맑은 고딕"/>
      <family val="3"/>
      <charset val="129"/>
    </font>
    <font>
      <b/>
      <sz val="11"/>
      <color rgb="FF666666"/>
      <name val="Segoe UI Symbol"/>
      <family val="2"/>
    </font>
    <font>
      <b/>
      <sz val="11"/>
      <color rgb="FF666666"/>
      <name val="Calibri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i/>
      <sz val="11"/>
      <color rgb="FF666666"/>
      <name val="맑은 고딕"/>
      <family val="3"/>
      <charset val="129"/>
    </font>
    <font>
      <i/>
      <sz val="11"/>
      <color rgb="FF666666"/>
      <name val="Calibri"/>
      <family val="3"/>
      <charset val="129"/>
    </font>
    <font>
      <b/>
      <sz val="11"/>
      <color rgb="FF0000FF"/>
      <name val="맑은 고딕"/>
      <family val="3"/>
      <charset val="129"/>
    </font>
    <font>
      <b/>
      <sz val="11"/>
      <color rgb="FFC00000"/>
      <name val="맑은 고딕"/>
      <family val="2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Calibri"/>
      <family val="3"/>
      <charset val="129"/>
    </font>
    <font>
      <b/>
      <sz val="11"/>
      <color rgb="FF666666"/>
      <name val="Calibri"/>
      <family val="2"/>
      <charset val="129"/>
    </font>
    <font>
      <b/>
      <sz val="11"/>
      <color rgb="FF666666"/>
      <name val="Calibri"/>
      <family val="3"/>
    </font>
    <font>
      <sz val="11"/>
      <color theme="1"/>
      <name val="맑은 고딕"/>
      <family val="2"/>
      <charset val="129"/>
    </font>
    <font>
      <b/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medium">
        <color rgb="FF1F4E78"/>
      </top>
      <bottom style="medium">
        <color rgb="FF1F4E78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rgb="FF1F4E78"/>
      </top>
      <bottom style="medium">
        <color rgb="FF1F4E78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3">
    <xf numFmtId="0" fontId="0" fillId="0" borderId="0"/>
    <xf numFmtId="0" fontId="13" fillId="0" borderId="0"/>
    <xf numFmtId="9" fontId="13" fillId="0" borderId="0" applyFont="0" applyFill="0" applyBorder="0" applyAlignment="0" applyProtection="0">
      <alignment vertical="center"/>
    </xf>
  </cellStyleXfs>
  <cellXfs count="159">
    <xf numFmtId="0" fontId="0" fillId="0" borderId="0" xfId="0"/>
    <xf numFmtId="0" fontId="0" fillId="0" borderId="0" xfId="1" applyFont="1" applyAlignment="1">
      <alignment horizontal="right" vertical="center"/>
    </xf>
    <xf numFmtId="0" fontId="3" fillId="0" borderId="0" xfId="1" applyFont="1" applyAlignment="1">
      <alignment horizontal="left" vertical="center"/>
    </xf>
    <xf numFmtId="0" fontId="5" fillId="4" borderId="2" xfId="1" applyFont="1" applyFill="1" applyBorder="1" applyAlignment="1">
      <alignment horizontal="center" vertical="center"/>
    </xf>
    <xf numFmtId="0" fontId="0" fillId="0" borderId="0" xfId="1" applyFont="1" applyAlignment="1">
      <alignment horizontal="center"/>
    </xf>
    <xf numFmtId="178" fontId="4" fillId="3" borderId="1" xfId="1" applyNumberFormat="1" applyFont="1" applyFill="1" applyBorder="1" applyAlignment="1">
      <alignment horizontal="right" vertical="center"/>
    </xf>
    <xf numFmtId="179" fontId="6" fillId="0" borderId="1" xfId="1" applyNumberFormat="1" applyFont="1" applyBorder="1" applyAlignment="1">
      <alignment horizontal="right" vertical="center"/>
    </xf>
    <xf numFmtId="0" fontId="10" fillId="0" borderId="0" xfId="1" applyFont="1" applyAlignment="1">
      <alignment horizontal="right" vertical="center"/>
    </xf>
    <xf numFmtId="176" fontId="4" fillId="3" borderId="1" xfId="1" applyNumberFormat="1" applyFont="1" applyFill="1" applyBorder="1" applyAlignment="1">
      <alignment horizontal="right" vertical="center"/>
    </xf>
    <xf numFmtId="177" fontId="4" fillId="3" borderId="1" xfId="1" applyNumberFormat="1" applyFont="1" applyFill="1" applyBorder="1" applyAlignment="1">
      <alignment horizontal="right" vertical="center"/>
    </xf>
    <xf numFmtId="176" fontId="6" fillId="0" borderId="1" xfId="1" applyNumberFormat="1" applyFont="1" applyBorder="1" applyAlignment="1">
      <alignment horizontal="right" vertical="center"/>
    </xf>
    <xf numFmtId="177" fontId="6" fillId="0" borderId="1" xfId="1" applyNumberFormat="1" applyFont="1" applyBorder="1" applyAlignment="1">
      <alignment horizontal="right" vertical="center"/>
    </xf>
    <xf numFmtId="0" fontId="11" fillId="8" borderId="5" xfId="1" applyFont="1" applyFill="1" applyBorder="1" applyAlignment="1">
      <alignment horizontal="left" vertical="center"/>
    </xf>
    <xf numFmtId="0" fontId="6" fillId="7" borderId="5" xfId="1" applyFont="1" applyFill="1" applyBorder="1" applyAlignment="1">
      <alignment horizontal="left" vertical="center"/>
    </xf>
    <xf numFmtId="3" fontId="4" fillId="3" borderId="5" xfId="1" applyNumberFormat="1" applyFont="1" applyFill="1" applyBorder="1" applyAlignment="1">
      <alignment horizontal="center" vertical="center"/>
    </xf>
    <xf numFmtId="0" fontId="6" fillId="7" borderId="4" xfId="1" applyFont="1" applyFill="1" applyBorder="1"/>
    <xf numFmtId="176" fontId="6" fillId="5" borderId="1" xfId="1" applyNumberFormat="1" applyFont="1" applyFill="1" applyBorder="1" applyAlignment="1">
      <alignment horizontal="right" vertical="center"/>
    </xf>
    <xf numFmtId="176" fontId="2" fillId="5" borderId="1" xfId="1" applyNumberFormat="1" applyFont="1" applyFill="1" applyBorder="1" applyAlignment="1">
      <alignment horizontal="right" vertical="center"/>
    </xf>
    <xf numFmtId="177" fontId="6" fillId="6" borderId="1" xfId="1" applyNumberFormat="1" applyFont="1" applyFill="1" applyBorder="1" applyAlignment="1">
      <alignment horizontal="right" vertical="center"/>
    </xf>
    <xf numFmtId="176" fontId="6" fillId="7" borderId="4" xfId="1" applyNumberFormat="1" applyFont="1" applyFill="1" applyBorder="1"/>
    <xf numFmtId="3" fontId="2" fillId="7" borderId="5" xfId="1" applyNumberFormat="1" applyFont="1" applyFill="1" applyBorder="1" applyAlignment="1">
      <alignment horizontal="center" vertical="center"/>
    </xf>
    <xf numFmtId="177" fontId="6" fillId="5" borderId="1" xfId="1" applyNumberFormat="1" applyFont="1" applyFill="1" applyBorder="1" applyAlignment="1">
      <alignment horizontal="right" vertical="center"/>
    </xf>
    <xf numFmtId="176" fontId="9" fillId="5" borderId="1" xfId="1" applyNumberFormat="1" applyFont="1" applyFill="1" applyBorder="1" applyAlignment="1">
      <alignment horizontal="right" vertical="center"/>
    </xf>
    <xf numFmtId="0" fontId="0" fillId="0" borderId="8" xfId="1" applyFont="1" applyBorder="1"/>
    <xf numFmtId="180" fontId="4" fillId="3" borderId="5" xfId="1" applyNumberFormat="1" applyFont="1" applyFill="1" applyBorder="1" applyAlignment="1">
      <alignment horizontal="center" vertical="center"/>
    </xf>
    <xf numFmtId="0" fontId="6" fillId="7" borderId="5" xfId="1" applyFont="1" applyFill="1" applyBorder="1" applyAlignment="1">
      <alignment horizontal="center" vertical="center" wrapText="1"/>
    </xf>
    <xf numFmtId="180" fontId="2" fillId="7" borderId="5" xfId="1" applyNumberFormat="1" applyFont="1" applyFill="1" applyBorder="1" applyAlignment="1">
      <alignment horizontal="center" vertical="center"/>
    </xf>
    <xf numFmtId="0" fontId="5" fillId="4" borderId="8" xfId="1" applyFont="1" applyFill="1" applyBorder="1" applyAlignment="1">
      <alignment horizontal="center" vertical="center"/>
    </xf>
    <xf numFmtId="0" fontId="0" fillId="0" borderId="4" xfId="1" applyFont="1" applyBorder="1"/>
    <xf numFmtId="176" fontId="6" fillId="0" borderId="4" xfId="1" applyNumberFormat="1" applyFont="1" applyBorder="1" applyAlignment="1">
      <alignment horizontal="right" vertical="center"/>
    </xf>
    <xf numFmtId="177" fontId="6" fillId="0" borderId="4" xfId="1" applyNumberFormat="1" applyFont="1" applyBorder="1" applyAlignment="1">
      <alignment horizontal="right" vertical="center"/>
    </xf>
    <xf numFmtId="176" fontId="4" fillId="9" borderId="4" xfId="1" applyNumberFormat="1" applyFont="1" applyFill="1" applyBorder="1" applyAlignment="1">
      <alignment horizontal="right" vertical="center"/>
    </xf>
    <xf numFmtId="177" fontId="4" fillId="9" borderId="4" xfId="1" applyNumberFormat="1" applyFont="1" applyFill="1" applyBorder="1" applyAlignment="1">
      <alignment horizontal="right" vertical="center"/>
    </xf>
    <xf numFmtId="0" fontId="0" fillId="9" borderId="0" xfId="1" applyFont="1" applyFill="1" applyAlignment="1">
      <alignment horizontal="right" vertical="center"/>
    </xf>
    <xf numFmtId="0" fontId="0" fillId="9" borderId="4" xfId="1" applyFont="1" applyFill="1" applyBorder="1"/>
    <xf numFmtId="176" fontId="6" fillId="9" borderId="4" xfId="1" applyNumberFormat="1" applyFont="1" applyFill="1" applyBorder="1" applyAlignment="1">
      <alignment horizontal="right" vertical="center"/>
    </xf>
    <xf numFmtId="3" fontId="4" fillId="9" borderId="5" xfId="1" applyNumberFormat="1" applyFont="1" applyFill="1" applyBorder="1" applyAlignment="1">
      <alignment horizontal="center" vertical="center"/>
    </xf>
    <xf numFmtId="3" fontId="4" fillId="9" borderId="4" xfId="1" applyNumberFormat="1" applyFont="1" applyFill="1" applyBorder="1" applyAlignment="1">
      <alignment horizontal="center" vertical="center"/>
    </xf>
    <xf numFmtId="180" fontId="4" fillId="9" borderId="4" xfId="1" applyNumberFormat="1" applyFont="1" applyFill="1" applyBorder="1" applyAlignment="1">
      <alignment horizontal="center" vertical="center"/>
    </xf>
    <xf numFmtId="10" fontId="4" fillId="9" borderId="4" xfId="1" applyNumberFormat="1" applyFont="1" applyFill="1" applyBorder="1" applyAlignment="1">
      <alignment horizontal="center" vertical="center"/>
    </xf>
    <xf numFmtId="180" fontId="4" fillId="9" borderId="5" xfId="1" applyNumberFormat="1" applyFont="1" applyFill="1" applyBorder="1" applyAlignment="1">
      <alignment horizontal="center" vertical="center"/>
    </xf>
    <xf numFmtId="0" fontId="15" fillId="0" borderId="0" xfId="0" applyFont="1"/>
    <xf numFmtId="0" fontId="16" fillId="10" borderId="0" xfId="0" applyFont="1" applyFill="1" applyAlignment="1">
      <alignment horizontal="center" vertical="center"/>
    </xf>
    <xf numFmtId="0" fontId="16" fillId="11" borderId="0" xfId="0" applyFont="1" applyFill="1" applyAlignment="1">
      <alignment horizontal="center" vertical="center"/>
    </xf>
    <xf numFmtId="0" fontId="11" fillId="9" borderId="4" xfId="1" applyFont="1" applyFill="1" applyBorder="1" applyAlignment="1">
      <alignment horizontal="left" vertical="center"/>
    </xf>
    <xf numFmtId="10" fontId="4" fillId="9" borderId="5" xfId="1" applyNumberFormat="1" applyFont="1" applyFill="1" applyBorder="1" applyAlignment="1">
      <alignment horizontal="center" vertical="center"/>
    </xf>
    <xf numFmtId="0" fontId="18" fillId="0" borderId="0" xfId="1" applyFont="1"/>
    <xf numFmtId="0" fontId="6" fillId="9" borderId="4" xfId="1" applyFont="1" applyFill="1" applyBorder="1"/>
    <xf numFmtId="0" fontId="19" fillId="0" borderId="0" xfId="0" applyFont="1"/>
    <xf numFmtId="0" fontId="19" fillId="0" borderId="9" xfId="0" applyFont="1" applyBorder="1"/>
    <xf numFmtId="0" fontId="0" fillId="0" borderId="9" xfId="0" applyBorder="1"/>
    <xf numFmtId="14" fontId="0" fillId="0" borderId="9" xfId="0" applyNumberFormat="1" applyBorder="1"/>
    <xf numFmtId="3" fontId="0" fillId="0" borderId="9" xfId="0" applyNumberFormat="1" applyBorder="1"/>
    <xf numFmtId="0" fontId="0" fillId="0" borderId="4" xfId="0" applyBorder="1"/>
    <xf numFmtId="0" fontId="19" fillId="0" borderId="4" xfId="0" applyFont="1" applyBorder="1"/>
    <xf numFmtId="3" fontId="0" fillId="0" borderId="4" xfId="0" applyNumberFormat="1" applyBorder="1"/>
    <xf numFmtId="17" fontId="0" fillId="0" borderId="4" xfId="0" applyNumberFormat="1" applyBorder="1"/>
    <xf numFmtId="181" fontId="4" fillId="3" borderId="5" xfId="1" applyNumberFormat="1" applyFont="1" applyFill="1" applyBorder="1" applyAlignment="1">
      <alignment horizontal="center" vertical="center"/>
    </xf>
    <xf numFmtId="0" fontId="0" fillId="0" borderId="9" xfId="0" applyBorder="1" applyAlignment="1">
      <alignment wrapText="1"/>
    </xf>
    <xf numFmtId="3" fontId="0" fillId="12" borderId="9" xfId="0" applyNumberFormat="1" applyFill="1" applyBorder="1"/>
    <xf numFmtId="0" fontId="23" fillId="0" borderId="0" xfId="1" applyFont="1" applyAlignment="1">
      <alignment horizontal="left" vertical="center"/>
    </xf>
    <xf numFmtId="182" fontId="4" fillId="3" borderId="1" xfId="2" applyNumberFormat="1" applyFont="1" applyFill="1" applyBorder="1" applyAlignment="1">
      <alignment horizontal="right" vertical="center"/>
    </xf>
    <xf numFmtId="0" fontId="24" fillId="4" borderId="2" xfId="1" applyFont="1" applyFill="1" applyBorder="1" applyAlignment="1">
      <alignment horizontal="center" vertical="center"/>
    </xf>
    <xf numFmtId="176" fontId="4" fillId="3" borderId="4" xfId="1" applyNumberFormat="1" applyFont="1" applyFill="1" applyBorder="1" applyAlignment="1">
      <alignment horizontal="right" vertical="center"/>
    </xf>
    <xf numFmtId="178" fontId="4" fillId="3" borderId="4" xfId="1" applyNumberFormat="1" applyFont="1" applyFill="1" applyBorder="1" applyAlignment="1">
      <alignment horizontal="right" vertical="center"/>
    </xf>
    <xf numFmtId="176" fontId="4" fillId="0" borderId="1" xfId="1" applyNumberFormat="1" applyFont="1" applyFill="1" applyBorder="1" applyAlignment="1">
      <alignment horizontal="right" vertical="center"/>
    </xf>
    <xf numFmtId="176" fontId="6" fillId="0" borderId="1" xfId="1" applyNumberFormat="1" applyFont="1" applyFill="1" applyBorder="1" applyAlignment="1">
      <alignment horizontal="right" vertical="center"/>
    </xf>
    <xf numFmtId="178" fontId="4" fillId="0" borderId="1" xfId="1" applyNumberFormat="1" applyFont="1" applyFill="1" applyBorder="1" applyAlignment="1">
      <alignment horizontal="right" vertical="center"/>
    </xf>
    <xf numFmtId="177" fontId="4" fillId="0" borderId="1" xfId="1" applyNumberFormat="1" applyFont="1" applyFill="1" applyBorder="1" applyAlignment="1">
      <alignment horizontal="right" vertical="center"/>
    </xf>
    <xf numFmtId="176" fontId="4" fillId="0" borderId="4" xfId="1" applyNumberFormat="1" applyFont="1" applyFill="1" applyBorder="1" applyAlignment="1">
      <alignment horizontal="right" vertical="center"/>
    </xf>
    <xf numFmtId="176" fontId="6" fillId="0" borderId="4" xfId="1" applyNumberFormat="1" applyFont="1" applyFill="1" applyBorder="1" applyAlignment="1">
      <alignment horizontal="right" vertical="center"/>
    </xf>
    <xf numFmtId="178" fontId="4" fillId="0" borderId="4" xfId="1" applyNumberFormat="1" applyFont="1" applyFill="1" applyBorder="1" applyAlignment="1">
      <alignment horizontal="right" vertical="center"/>
    </xf>
    <xf numFmtId="0" fontId="25" fillId="4" borderId="2" xfId="1" applyFont="1" applyFill="1" applyBorder="1" applyAlignment="1">
      <alignment horizontal="center" vertical="center"/>
    </xf>
    <xf numFmtId="0" fontId="27" fillId="0" borderId="0" xfId="1" applyFont="1"/>
    <xf numFmtId="178" fontId="4" fillId="0" borderId="9" xfId="1" applyNumberFormat="1" applyFont="1" applyFill="1" applyBorder="1" applyAlignment="1">
      <alignment horizontal="right" vertical="center"/>
    </xf>
    <xf numFmtId="176" fontId="28" fillId="0" borderId="9" xfId="1" applyNumberFormat="1" applyFont="1" applyFill="1" applyBorder="1" applyAlignment="1">
      <alignment horizontal="center" vertical="center"/>
    </xf>
    <xf numFmtId="176" fontId="29" fillId="0" borderId="9" xfId="1" applyNumberFormat="1" applyFont="1" applyFill="1" applyBorder="1" applyAlignment="1">
      <alignment horizontal="center" vertical="center"/>
    </xf>
    <xf numFmtId="178" fontId="29" fillId="0" borderId="9" xfId="1" applyNumberFormat="1" applyFont="1" applyFill="1" applyBorder="1" applyAlignment="1">
      <alignment horizontal="center" vertical="center"/>
    </xf>
    <xf numFmtId="178" fontId="10" fillId="0" borderId="9" xfId="1" applyNumberFormat="1" applyFont="1" applyFill="1" applyBorder="1" applyAlignment="1">
      <alignment horizontal="center" vertical="center"/>
    </xf>
    <xf numFmtId="178" fontId="10" fillId="0" borderId="9" xfId="1" applyNumberFormat="1" applyFont="1" applyFill="1" applyBorder="1" applyAlignment="1">
      <alignment horizontal="right" vertical="center"/>
    </xf>
    <xf numFmtId="176" fontId="28" fillId="0" borderId="10" xfId="1" applyNumberFormat="1" applyFont="1" applyFill="1" applyBorder="1" applyAlignment="1">
      <alignment horizontal="center" vertical="center"/>
    </xf>
    <xf numFmtId="9" fontId="28" fillId="0" borderId="11" xfId="2" applyFont="1" applyFill="1" applyBorder="1" applyAlignment="1">
      <alignment horizontal="center" vertical="center"/>
    </xf>
    <xf numFmtId="0" fontId="19" fillId="0" borderId="9" xfId="0" applyFont="1" applyBorder="1" applyAlignment="1">
      <alignment wrapText="1"/>
    </xf>
    <xf numFmtId="4" fontId="0" fillId="0" borderId="9" xfId="0" applyNumberFormat="1" applyBorder="1"/>
    <xf numFmtId="3" fontId="19" fillId="0" borderId="9" xfId="0" applyNumberFormat="1" applyFont="1" applyBorder="1"/>
    <xf numFmtId="183" fontId="4" fillId="3" borderId="5" xfId="1" applyNumberFormat="1" applyFont="1" applyFill="1" applyBorder="1" applyAlignment="1">
      <alignment horizontal="center" vertical="center"/>
    </xf>
    <xf numFmtId="0" fontId="0" fillId="12" borderId="9" xfId="0" applyFill="1" applyBorder="1"/>
    <xf numFmtId="0" fontId="6" fillId="7" borderId="4" xfId="1" applyFont="1" applyFill="1" applyBorder="1" applyAlignment="1">
      <alignment horizontal="center" vertical="center" wrapText="1"/>
    </xf>
    <xf numFmtId="0" fontId="6" fillId="7" borderId="4" xfId="1" applyFont="1" applyFill="1" applyBorder="1" applyAlignment="1">
      <alignment horizontal="left" vertical="center"/>
    </xf>
    <xf numFmtId="0" fontId="31" fillId="7" borderId="4" xfId="1" applyFont="1" applyFill="1" applyBorder="1" applyAlignment="1">
      <alignment horizontal="left" vertical="center"/>
    </xf>
    <xf numFmtId="0" fontId="6" fillId="7" borderId="17" xfId="1" applyFont="1" applyFill="1" applyBorder="1" applyAlignment="1">
      <alignment horizontal="center" vertical="center" wrapText="1"/>
    </xf>
    <xf numFmtId="180" fontId="4" fillId="3" borderId="17" xfId="1" applyNumberFormat="1" applyFont="1" applyFill="1" applyBorder="1" applyAlignment="1">
      <alignment horizontal="center" vertical="center"/>
    </xf>
    <xf numFmtId="3" fontId="2" fillId="7" borderId="17" xfId="1" applyNumberFormat="1" applyFont="1" applyFill="1" applyBorder="1" applyAlignment="1">
      <alignment horizontal="center" vertical="center"/>
    </xf>
    <xf numFmtId="14" fontId="4" fillId="3" borderId="1" xfId="1" applyNumberFormat="1" applyFont="1" applyFill="1" applyBorder="1" applyAlignment="1">
      <alignment horizontal="right" vertical="center"/>
    </xf>
    <xf numFmtId="4" fontId="0" fillId="12" borderId="9" xfId="0" applyNumberFormat="1" applyFill="1" applyBorder="1"/>
    <xf numFmtId="4" fontId="4" fillId="3" borderId="5" xfId="1" applyNumberFormat="1" applyFont="1" applyFill="1" applyBorder="1" applyAlignment="1">
      <alignment horizontal="center" vertical="center"/>
    </xf>
    <xf numFmtId="3" fontId="2" fillId="7" borderId="19" xfId="1" applyNumberFormat="1" applyFont="1" applyFill="1" applyBorder="1" applyAlignment="1">
      <alignment horizontal="center" vertical="center"/>
    </xf>
    <xf numFmtId="0" fontId="6" fillId="7" borderId="9" xfId="1" applyFont="1" applyFill="1" applyBorder="1" applyAlignment="1">
      <alignment horizontal="center" vertical="center" wrapText="1"/>
    </xf>
    <xf numFmtId="3" fontId="4" fillId="3" borderId="9" xfId="1" applyNumberFormat="1" applyFont="1" applyFill="1" applyBorder="1" applyAlignment="1">
      <alignment horizontal="center" vertical="center"/>
    </xf>
    <xf numFmtId="3" fontId="2" fillId="7" borderId="9" xfId="1" applyNumberFormat="1" applyFont="1" applyFill="1" applyBorder="1" applyAlignment="1">
      <alignment horizontal="center" vertical="center"/>
    </xf>
    <xf numFmtId="180" fontId="4" fillId="3" borderId="9" xfId="1" applyNumberFormat="1" applyFont="1" applyFill="1" applyBorder="1" applyAlignment="1">
      <alignment horizontal="center" vertical="center"/>
    </xf>
    <xf numFmtId="184" fontId="4" fillId="3" borderId="9" xfId="1" applyNumberFormat="1" applyFont="1" applyFill="1" applyBorder="1" applyAlignment="1">
      <alignment horizontal="center" vertical="center"/>
    </xf>
    <xf numFmtId="180" fontId="2" fillId="7" borderId="9" xfId="1" applyNumberFormat="1" applyFont="1" applyFill="1" applyBorder="1" applyAlignment="1">
      <alignment horizontal="center" vertical="center"/>
    </xf>
    <xf numFmtId="0" fontId="6" fillId="9" borderId="17" xfId="1" applyFont="1" applyFill="1" applyBorder="1" applyAlignment="1">
      <alignment horizontal="left" vertical="center"/>
    </xf>
    <xf numFmtId="10" fontId="4" fillId="9" borderId="17" xfId="1" applyNumberFormat="1" applyFont="1" applyFill="1" applyBorder="1" applyAlignment="1">
      <alignment horizontal="center" vertical="center"/>
    </xf>
    <xf numFmtId="0" fontId="6" fillId="9" borderId="17" xfId="1" applyFont="1" applyFill="1" applyBorder="1" applyAlignment="1">
      <alignment horizontal="center" vertical="center"/>
    </xf>
    <xf numFmtId="3" fontId="4" fillId="9" borderId="17" xfId="1" applyNumberFormat="1" applyFont="1" applyFill="1" applyBorder="1" applyAlignment="1">
      <alignment horizontal="center" vertical="center"/>
    </xf>
    <xf numFmtId="3" fontId="6" fillId="9" borderId="17" xfId="1" applyNumberFormat="1" applyFont="1" applyFill="1" applyBorder="1" applyAlignment="1">
      <alignment horizontal="center" vertical="center"/>
    </xf>
    <xf numFmtId="0" fontId="6" fillId="7" borderId="9" xfId="1" applyFont="1" applyFill="1" applyBorder="1" applyAlignment="1">
      <alignment wrapText="1"/>
    </xf>
    <xf numFmtId="3" fontId="0" fillId="0" borderId="9" xfId="0" applyNumberFormat="1" applyFill="1" applyBorder="1"/>
    <xf numFmtId="0" fontId="32" fillId="0" borderId="0" xfId="1" applyFont="1" applyAlignment="1">
      <alignment horizontal="left" vertical="center"/>
    </xf>
    <xf numFmtId="0" fontId="6" fillId="0" borderId="12" xfId="1" applyFont="1" applyFill="1" applyBorder="1" applyAlignment="1">
      <alignment horizontal="center" vertical="center" wrapText="1"/>
    </xf>
    <xf numFmtId="3" fontId="4" fillId="0" borderId="13" xfId="1" applyNumberFormat="1" applyFont="1" applyFill="1" applyBorder="1" applyAlignment="1">
      <alignment horizontal="center" vertical="center"/>
    </xf>
    <xf numFmtId="3" fontId="2" fillId="0" borderId="13" xfId="1" applyNumberFormat="1" applyFont="1" applyFill="1" applyBorder="1" applyAlignment="1">
      <alignment horizontal="center" vertical="center"/>
    </xf>
    <xf numFmtId="180" fontId="4" fillId="0" borderId="13" xfId="1" applyNumberFormat="1" applyFont="1" applyFill="1" applyBorder="1" applyAlignment="1">
      <alignment horizontal="center" vertical="center"/>
    </xf>
    <xf numFmtId="184" fontId="4" fillId="0" borderId="13" xfId="1" applyNumberFormat="1" applyFont="1" applyFill="1" applyBorder="1" applyAlignment="1">
      <alignment horizontal="center" vertical="center"/>
    </xf>
    <xf numFmtId="180" fontId="2" fillId="0" borderId="13" xfId="1" applyNumberFormat="1" applyFont="1" applyFill="1" applyBorder="1" applyAlignment="1">
      <alignment horizontal="center" vertical="center"/>
    </xf>
    <xf numFmtId="3" fontId="2" fillId="0" borderId="14" xfId="1" applyNumberFormat="1" applyFont="1" applyFill="1" applyBorder="1" applyAlignment="1">
      <alignment horizontal="center" vertical="center"/>
    </xf>
    <xf numFmtId="14" fontId="19" fillId="0" borderId="9" xfId="0" applyNumberFormat="1" applyFont="1" applyBorder="1"/>
    <xf numFmtId="4" fontId="19" fillId="0" borderId="9" xfId="0" applyNumberFormat="1" applyFont="1" applyBorder="1"/>
    <xf numFmtId="3" fontId="19" fillId="0" borderId="9" xfId="0" applyNumberFormat="1" applyFont="1" applyFill="1" applyBorder="1"/>
    <xf numFmtId="0" fontId="34" fillId="0" borderId="9" xfId="0" applyFont="1" applyBorder="1" applyAlignment="1">
      <alignment horizontal="center" vertical="center"/>
    </xf>
    <xf numFmtId="3" fontId="0" fillId="12" borderId="9" xfId="0" applyNumberFormat="1" applyFill="1" applyBorder="1" applyAlignment="1">
      <alignment horizontal="center" vertical="center"/>
    </xf>
    <xf numFmtId="0" fontId="35" fillId="12" borderId="0" xfId="0" applyFont="1" applyFill="1"/>
    <xf numFmtId="0" fontId="6" fillId="7" borderId="5" xfId="1" applyFont="1" applyFill="1" applyBorder="1" applyAlignment="1">
      <alignment horizontal="left" vertical="center"/>
    </xf>
    <xf numFmtId="0" fontId="0" fillId="0" borderId="8" xfId="1" applyFont="1" applyBorder="1"/>
    <xf numFmtId="0" fontId="0" fillId="0" borderId="6" xfId="1" applyFont="1" applyBorder="1"/>
    <xf numFmtId="0" fontId="1" fillId="2" borderId="7" xfId="1" applyFont="1" applyFill="1" applyBorder="1" applyAlignment="1">
      <alignment horizontal="left" vertical="center"/>
    </xf>
    <xf numFmtId="0" fontId="0" fillId="0" borderId="3" xfId="1" applyFont="1" applyBorder="1"/>
    <xf numFmtId="0" fontId="0" fillId="0" borderId="7" xfId="1" applyFont="1" applyBorder="1"/>
    <xf numFmtId="0" fontId="11" fillId="8" borderId="5" xfId="1" applyFont="1" applyFill="1" applyBorder="1" applyAlignment="1">
      <alignment horizontal="left" vertical="center"/>
    </xf>
    <xf numFmtId="0" fontId="12" fillId="8" borderId="5" xfId="1" applyFont="1" applyFill="1" applyBorder="1" applyAlignment="1">
      <alignment horizontal="left" vertical="center"/>
    </xf>
    <xf numFmtId="0" fontId="6" fillId="7" borderId="9" xfId="1" applyFont="1" applyFill="1" applyBorder="1" applyAlignment="1">
      <alignment horizontal="left" vertical="center"/>
    </xf>
    <xf numFmtId="0" fontId="0" fillId="0" borderId="9" xfId="1" applyFont="1" applyBorder="1"/>
    <xf numFmtId="0" fontId="11" fillId="8" borderId="15" xfId="1" applyFont="1" applyFill="1" applyBorder="1" applyAlignment="1">
      <alignment horizontal="left" vertical="center"/>
    </xf>
    <xf numFmtId="0" fontId="0" fillId="0" borderId="16" xfId="1" applyFont="1" applyBorder="1"/>
    <xf numFmtId="0" fontId="0" fillId="0" borderId="18" xfId="1" applyFont="1" applyBorder="1"/>
    <xf numFmtId="0" fontId="6" fillId="7" borderId="17" xfId="1" applyFont="1" applyFill="1" applyBorder="1" applyAlignment="1">
      <alignment horizontal="left" vertical="center"/>
    </xf>
    <xf numFmtId="0" fontId="0" fillId="0" borderId="1" xfId="1" applyFont="1" applyBorder="1"/>
    <xf numFmtId="0" fontId="0" fillId="0" borderId="19" xfId="1" applyFont="1" applyBorder="1"/>
    <xf numFmtId="0" fontId="31" fillId="7" borderId="9" xfId="1" applyFont="1" applyFill="1" applyBorder="1" applyAlignment="1">
      <alignment horizontal="left" vertical="center"/>
    </xf>
    <xf numFmtId="0" fontId="11" fillId="8" borderId="11" xfId="1" applyFont="1" applyFill="1" applyBorder="1" applyAlignment="1">
      <alignment horizontal="left" vertical="center"/>
    </xf>
    <xf numFmtId="0" fontId="0" fillId="0" borderId="11" xfId="1" applyFont="1" applyBorder="1"/>
    <xf numFmtId="0" fontId="11" fillId="8" borderId="17" xfId="1" applyFont="1" applyFill="1" applyBorder="1" applyAlignment="1">
      <alignment horizontal="left" vertical="center"/>
    </xf>
    <xf numFmtId="0" fontId="11" fillId="8" borderId="5" xfId="1" applyFont="1" applyFill="1" applyBorder="1"/>
    <xf numFmtId="0" fontId="11" fillId="8" borderId="9" xfId="1" applyFont="1" applyFill="1" applyBorder="1" applyAlignment="1">
      <alignment horizontal="left" vertical="center"/>
    </xf>
    <xf numFmtId="0" fontId="6" fillId="7" borderId="10" xfId="1" applyFont="1" applyFill="1" applyBorder="1" applyAlignment="1">
      <alignment horizontal="center" vertical="center" wrapText="1"/>
    </xf>
    <xf numFmtId="0" fontId="6" fillId="7" borderId="20" xfId="1" applyFont="1" applyFill="1" applyBorder="1" applyAlignment="1">
      <alignment horizontal="center" vertical="center" wrapText="1"/>
    </xf>
    <xf numFmtId="0" fontId="6" fillId="7" borderId="11" xfId="1" applyFont="1" applyFill="1" applyBorder="1" applyAlignment="1">
      <alignment horizontal="center" vertical="center" wrapText="1"/>
    </xf>
    <xf numFmtId="176" fontId="25" fillId="0" borderId="12" xfId="1" applyNumberFormat="1" applyFont="1" applyFill="1" applyBorder="1" applyAlignment="1">
      <alignment horizontal="center" vertical="center"/>
    </xf>
    <xf numFmtId="176" fontId="10" fillId="0" borderId="13" xfId="1" applyNumberFormat="1" applyFont="1" applyFill="1" applyBorder="1" applyAlignment="1">
      <alignment horizontal="center" vertical="center"/>
    </xf>
    <xf numFmtId="176" fontId="10" fillId="0" borderId="14" xfId="1" applyNumberFormat="1" applyFont="1" applyFill="1" applyBorder="1" applyAlignment="1">
      <alignment horizontal="center" vertical="center"/>
    </xf>
    <xf numFmtId="176" fontId="4" fillId="0" borderId="12" xfId="1" applyNumberFormat="1" applyFont="1" applyFill="1" applyBorder="1" applyAlignment="1">
      <alignment horizontal="center" vertical="center"/>
    </xf>
    <xf numFmtId="176" fontId="4" fillId="0" borderId="13" xfId="1" applyNumberFormat="1" applyFont="1" applyFill="1" applyBorder="1" applyAlignment="1">
      <alignment horizontal="center" vertical="center"/>
    </xf>
    <xf numFmtId="176" fontId="4" fillId="0" borderId="14" xfId="1" applyNumberFormat="1" applyFont="1" applyFill="1" applyBorder="1" applyAlignment="1">
      <alignment horizontal="center" vertical="center"/>
    </xf>
    <xf numFmtId="0" fontId="1" fillId="2" borderId="4" xfId="1" applyFont="1" applyFill="1" applyBorder="1" applyAlignment="1">
      <alignment horizontal="left" vertical="center"/>
    </xf>
    <xf numFmtId="0" fontId="11" fillId="8" borderId="5" xfId="1" applyFont="1" applyFill="1" applyBorder="1" applyAlignment="1"/>
    <xf numFmtId="0" fontId="11" fillId="8" borderId="21" xfId="1" applyFont="1" applyFill="1" applyBorder="1" applyAlignment="1"/>
    <xf numFmtId="0" fontId="0" fillId="0" borderId="4" xfId="1" applyFont="1" applyBorder="1" applyAlignment="1"/>
  </cellXfs>
  <cellStyles count="3">
    <cellStyle name="Normal" xfId="1" xr:uid="{00000000-0005-0000-0000-000000000000}"/>
    <cellStyle name="백분율" xfId="2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139a4107d7c24ca8" Type="http://schemas.microsoft.com/office/2017/10/relationships/person" Target="persons/person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r>
              <a:rPr lang="ko-KR" altLang="en-US"/>
              <a:t>방식별 시산가액 비교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시산가액조정!$B$3</c:f>
              <c:strCache>
                <c:ptCount val="1"/>
                <c:pt idx="0">
                  <c:v>시산가액(원)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시산가액조정!$A$4:$A$6</c:f>
              <c:strCache>
                <c:ptCount val="3"/>
                <c:pt idx="0">
                  <c:v>비교방식</c:v>
                </c:pt>
                <c:pt idx="1">
                  <c:v>원가방식</c:v>
                </c:pt>
                <c:pt idx="2">
                  <c:v>수익방식</c:v>
                </c:pt>
              </c:strCache>
            </c:strRef>
          </c:cat>
          <c:val>
            <c:numRef>
              <c:f>시산가액조정!$B$4:$B$6</c:f>
              <c:numCache>
                <c:formatCode>#,##0;[Red]\(#,##0\);\-</c:formatCode>
                <c:ptCount val="3"/>
                <c:pt idx="0">
                  <c:v>0</c:v>
                </c:pt>
                <c:pt idx="1">
                  <c:v>0</c:v>
                </c:pt>
                <c:pt idx="2">
                  <c:v>-29703679.45275934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0F-4E4E-84C6-5195684AE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ko-KR" altLang="en-US"/>
                  <a:t>방식</a:t>
                </a:r>
              </a:p>
            </c:rich>
          </c:tx>
          <c:layout>
            <c:manualLayout>
              <c:xMode val="edge"/>
              <c:yMode val="edge"/>
              <c:x val="2.8211030668146359E-2"/>
              <c:y val="0.91575308641975306"/>
            </c:manualLayout>
          </c:layout>
          <c:overlay val="1"/>
        </c:title>
        <c:numFmt formatCode="General" sourceLinked="0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lang="ko-KR" altLang="en-US"/>
                  <a:t>원</a:t>
                </a:r>
              </a:p>
            </c:rich>
          </c:tx>
          <c:layout>
            <c:manualLayout>
              <c:xMode val="edge"/>
              <c:yMode val="edge"/>
              <c:x val="3.7583892617449662E-2"/>
              <c:y val="2.7266452804510549E-2"/>
            </c:manualLayout>
          </c:layout>
          <c:overlay val="1"/>
        </c:title>
        <c:numFmt formatCode="#,##0;[Red]\(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38100</xdr:colOff>
      <xdr:row>51</xdr:row>
      <xdr:rowOff>47625</xdr:rowOff>
    </xdr:to>
    <xdr:sp macro="" textlink="">
      <xdr:nvSpPr>
        <xdr:cNvPr id="1065" name="Text Box 41" hidden="1">
          <a:extLst>
            <a:ext uri="{FF2B5EF4-FFF2-40B4-BE49-F238E27FC236}">
              <a16:creationId xmlns:a16="http://schemas.microsoft.com/office/drawing/2014/main" id="{28C22CE1-AAB1-47F2-955E-4046EE79829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190500</xdr:colOff>
      <xdr:row>44</xdr:row>
      <xdr:rowOff>276225</xdr:rowOff>
    </xdr:to>
    <xdr:sp macro="" textlink="">
      <xdr:nvSpPr>
        <xdr:cNvPr id="3076" name="Text Box 4" hidden="1">
          <a:extLst>
            <a:ext uri="{FF2B5EF4-FFF2-40B4-BE49-F238E27FC236}">
              <a16:creationId xmlns:a16="http://schemas.microsoft.com/office/drawing/2014/main" id="{893A675C-5D8D-4638-939D-58E13055F2D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57150</xdr:colOff>
      <xdr:row>67</xdr:row>
      <xdr:rowOff>142875</xdr:rowOff>
    </xdr:to>
    <xdr:sp macro="" textlink="">
      <xdr:nvSpPr>
        <xdr:cNvPr id="2070" name="Text Box 22" hidden="1">
          <a:extLst>
            <a:ext uri="{FF2B5EF4-FFF2-40B4-BE49-F238E27FC236}">
              <a16:creationId xmlns:a16="http://schemas.microsoft.com/office/drawing/2014/main" id="{E361CC58-F38E-4D80-BF2D-07047DCE466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400049</xdr:colOff>
      <xdr:row>1</xdr:row>
      <xdr:rowOff>142875</xdr:rowOff>
    </xdr:from>
    <xdr:to>
      <xdr:col>16</xdr:col>
      <xdr:colOff>180974</xdr:colOff>
      <xdr:row>28</xdr:row>
      <xdr:rowOff>133350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OpenAI" id="{65521717-4BB5-6B9B-CABF-CBDEA0092A9F}"/>
  <xltc:person displayName="OpenAI" id="{4F7DBDEA-DA4A-A093-38B5-3E8EC4571756}"/>
  <xltc:person displayName="OpenAI" id="{9D9E5D6E-1EA3-F31E-1169-14F04F4A12DA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103"/>
  <sheetViews>
    <sheetView showGridLines="0" topLeftCell="A28" zoomScale="70" zoomScaleNormal="70" workbookViewId="0">
      <selection activeCell="B59" sqref="B59"/>
    </sheetView>
  </sheetViews>
  <sheetFormatPr defaultRowHeight="15" x14ac:dyDescent="0.25"/>
  <cols>
    <col min="1" max="1" width="44" customWidth="1"/>
    <col min="2" max="2" width="20.140625" customWidth="1"/>
    <col min="3" max="3" width="5.7109375" customWidth="1"/>
    <col min="4" max="4" width="31" bestFit="1" customWidth="1"/>
    <col min="5" max="5" width="20.42578125" bestFit="1" customWidth="1"/>
    <col min="6" max="6" width="15.7109375" bestFit="1" customWidth="1"/>
    <col min="7" max="7" width="12" bestFit="1" customWidth="1"/>
    <col min="8" max="8" width="15.140625" bestFit="1" customWidth="1"/>
    <col min="9" max="9" width="33" bestFit="1" customWidth="1"/>
    <col min="10" max="10" width="10.5703125" bestFit="1" customWidth="1"/>
    <col min="11" max="11" width="12" bestFit="1" customWidth="1"/>
    <col min="12" max="12" width="21" bestFit="1" customWidth="1"/>
    <col min="14" max="14" width="13.85546875" bestFit="1" customWidth="1"/>
    <col min="15" max="15" width="10.28515625" bestFit="1" customWidth="1"/>
    <col min="16" max="16" width="15.140625" bestFit="1" customWidth="1"/>
    <col min="17" max="17" width="13.85546875" bestFit="1" customWidth="1"/>
    <col min="18" max="18" width="22.85546875" bestFit="1" customWidth="1"/>
    <col min="19" max="19" width="15.140625" bestFit="1" customWidth="1"/>
    <col min="20" max="21" width="13.85546875" bestFit="1" customWidth="1"/>
    <col min="22" max="22" width="10.28515625" bestFit="1" customWidth="1"/>
    <col min="23" max="24" width="15.140625" bestFit="1" customWidth="1"/>
    <col min="26" max="27" width="11" bestFit="1" customWidth="1"/>
    <col min="29" max="30" width="14.28515625" bestFit="1" customWidth="1"/>
    <col min="31" max="31" width="9.5703125" bestFit="1" customWidth="1"/>
  </cols>
  <sheetData>
    <row r="1" spans="1:7" ht="18.75" x14ac:dyDescent="0.25">
      <c r="A1" s="127" t="s">
        <v>1</v>
      </c>
      <c r="B1" s="128"/>
      <c r="C1" s="129"/>
      <c r="D1" s="128"/>
      <c r="E1" s="128"/>
      <c r="F1" s="128"/>
      <c r="G1" s="128"/>
    </row>
    <row r="2" spans="1:7" ht="15.75" thickBot="1" x14ac:dyDescent="0.3">
      <c r="A2" s="123" t="s">
        <v>378</v>
      </c>
      <c r="B2" s="93">
        <v>45221</v>
      </c>
      <c r="C2" s="1"/>
      <c r="D2" s="1"/>
      <c r="E2" s="1"/>
      <c r="F2" s="1"/>
      <c r="G2" s="1"/>
    </row>
    <row r="3" spans="1:7" ht="19.5" thickBot="1" x14ac:dyDescent="0.3">
      <c r="A3" s="127" t="s">
        <v>2</v>
      </c>
      <c r="B3" s="128"/>
      <c r="C3" s="28"/>
      <c r="D3" s="1"/>
      <c r="E3" s="127" t="s">
        <v>3</v>
      </c>
      <c r="F3" s="128"/>
      <c r="G3" s="128"/>
    </row>
    <row r="4" spans="1:7" x14ac:dyDescent="0.25">
      <c r="A4" s="2" t="s">
        <v>4</v>
      </c>
      <c r="B4" s="8">
        <v>2931.5</v>
      </c>
      <c r="C4" s="31"/>
      <c r="D4" s="1"/>
      <c r="E4" s="3" t="s">
        <v>5</v>
      </c>
      <c r="F4" s="3" t="s">
        <v>6</v>
      </c>
      <c r="G4" s="3" t="s">
        <v>7</v>
      </c>
    </row>
    <row r="5" spans="1:7" x14ac:dyDescent="0.25">
      <c r="A5" s="2" t="s">
        <v>8</v>
      </c>
      <c r="B5" s="8">
        <v>0</v>
      </c>
      <c r="C5" s="31"/>
      <c r="D5" s="2" t="s">
        <v>9</v>
      </c>
      <c r="E5" s="8">
        <v>24000</v>
      </c>
      <c r="F5" s="8">
        <v>27000</v>
      </c>
      <c r="G5" s="8">
        <v>30000</v>
      </c>
    </row>
    <row r="6" spans="1:7" x14ac:dyDescent="0.25">
      <c r="A6" s="2" t="s">
        <v>10</v>
      </c>
      <c r="B6" s="8">
        <v>0</v>
      </c>
      <c r="C6" s="31"/>
      <c r="D6" s="2" t="s">
        <v>11</v>
      </c>
      <c r="E6" s="9">
        <v>0.88</v>
      </c>
      <c r="F6" s="9">
        <v>0.93</v>
      </c>
      <c r="G6" s="9">
        <v>0.97</v>
      </c>
    </row>
    <row r="7" spans="1:7" x14ac:dyDescent="0.25">
      <c r="A7" s="2" t="s">
        <v>12</v>
      </c>
      <c r="B7" s="8">
        <v>0</v>
      </c>
      <c r="C7" s="31"/>
      <c r="D7" s="2" t="s">
        <v>13</v>
      </c>
      <c r="E7" s="8">
        <v>12000000</v>
      </c>
      <c r="F7" s="8">
        <v>18000000</v>
      </c>
      <c r="G7" s="8">
        <v>24000000</v>
      </c>
    </row>
    <row r="8" spans="1:7" x14ac:dyDescent="0.25">
      <c r="A8" s="2" t="s">
        <v>14</v>
      </c>
      <c r="B8" s="8">
        <v>0</v>
      </c>
      <c r="C8" s="31"/>
      <c r="D8" s="2" t="s">
        <v>15</v>
      </c>
      <c r="E8" s="9">
        <v>0.28000000000000003</v>
      </c>
      <c r="F8" s="9">
        <v>0.24</v>
      </c>
      <c r="G8" s="9">
        <v>0.21</v>
      </c>
    </row>
    <row r="9" spans="1:7" x14ac:dyDescent="0.25">
      <c r="A9" s="2" t="s">
        <v>16</v>
      </c>
      <c r="B9" s="8">
        <v>66400</v>
      </c>
      <c r="C9" s="31"/>
      <c r="D9" s="2" t="s">
        <v>17</v>
      </c>
      <c r="E9" s="9">
        <v>0.01</v>
      </c>
      <c r="F9" s="9">
        <v>0.02</v>
      </c>
      <c r="G9" s="9">
        <v>0.03</v>
      </c>
    </row>
    <row r="10" spans="1:7" ht="16.5" x14ac:dyDescent="0.25">
      <c r="A10" s="60" t="s">
        <v>306</v>
      </c>
      <c r="B10" s="8">
        <v>1700000</v>
      </c>
      <c r="C10" s="31"/>
      <c r="D10" s="2" t="s">
        <v>19</v>
      </c>
      <c r="E10" s="9">
        <v>0.09</v>
      </c>
      <c r="F10" s="9">
        <v>0.08</v>
      </c>
      <c r="G10" s="9">
        <v>7.0000000000000007E-2</v>
      </c>
    </row>
    <row r="11" spans="1:7" x14ac:dyDescent="0.25">
      <c r="A11" s="2" t="s">
        <v>20</v>
      </c>
      <c r="B11" s="9">
        <v>0.1</v>
      </c>
      <c r="C11" s="32"/>
      <c r="D11" s="2" t="s">
        <v>21</v>
      </c>
      <c r="E11" s="9">
        <v>6.5000000000000002E-2</v>
      </c>
      <c r="F11" s="9">
        <v>0.06</v>
      </c>
      <c r="G11" s="9">
        <v>5.5E-2</v>
      </c>
    </row>
    <row r="12" spans="1:7" x14ac:dyDescent="0.25">
      <c r="A12" s="2" t="s">
        <v>22</v>
      </c>
      <c r="B12" s="9">
        <v>0.03</v>
      </c>
      <c r="C12" s="32"/>
      <c r="D12" s="2" t="s">
        <v>23</v>
      </c>
      <c r="E12" s="9">
        <v>0.06</v>
      </c>
      <c r="F12" s="9">
        <v>5.5E-2</v>
      </c>
      <c r="G12" s="9">
        <v>0.05</v>
      </c>
    </row>
    <row r="13" spans="1:7" x14ac:dyDescent="0.25">
      <c r="A13" s="2" t="s">
        <v>24</v>
      </c>
      <c r="B13" s="9">
        <v>0.05</v>
      </c>
      <c r="C13" s="32"/>
      <c r="D13" s="2" t="s">
        <v>25</v>
      </c>
      <c r="E13" s="8">
        <v>18000000</v>
      </c>
      <c r="F13" s="8">
        <v>15000000</v>
      </c>
      <c r="G13" s="8">
        <v>12000000</v>
      </c>
    </row>
    <row r="14" spans="1:7" ht="16.5" x14ac:dyDescent="0.25">
      <c r="A14" s="60" t="s">
        <v>307</v>
      </c>
      <c r="B14" s="61">
        <v>2</v>
      </c>
      <c r="C14" s="32"/>
      <c r="D14" s="1"/>
      <c r="E14" s="1"/>
      <c r="F14" s="1"/>
      <c r="G14" s="1"/>
    </row>
    <row r="15" spans="1:7" x14ac:dyDescent="0.25">
      <c r="A15" s="2" t="s">
        <v>26</v>
      </c>
      <c r="B15" s="9">
        <v>0.5</v>
      </c>
      <c r="C15" s="32"/>
      <c r="D15" s="1"/>
      <c r="E15" s="1"/>
      <c r="F15" s="1"/>
      <c r="G15" s="1"/>
    </row>
    <row r="16" spans="1:7" x14ac:dyDescent="0.25">
      <c r="B16" s="1"/>
      <c r="C16" s="33"/>
      <c r="D16" s="1"/>
      <c r="E16" s="1"/>
      <c r="F16" s="1"/>
      <c r="G16" s="1"/>
    </row>
    <row r="17" spans="1:64" x14ac:dyDescent="0.25">
      <c r="B17" s="1"/>
      <c r="C17" s="33"/>
      <c r="D17" s="1"/>
      <c r="E17" s="1"/>
      <c r="F17" s="1"/>
      <c r="G17" s="1"/>
    </row>
    <row r="18" spans="1:64" ht="18.75" x14ac:dyDescent="0.25">
      <c r="A18" s="127" t="s">
        <v>27</v>
      </c>
      <c r="B18" s="128"/>
      <c r="C18" s="34"/>
      <c r="D18" s="1"/>
      <c r="E18" s="1"/>
      <c r="F18" s="1"/>
      <c r="G18" s="1"/>
    </row>
    <row r="19" spans="1:64" x14ac:dyDescent="0.25">
      <c r="A19" s="2" t="s">
        <v>28</v>
      </c>
      <c r="B19" s="10">
        <f t="shared" ref="B19:B27" si="0">IF($B$14=1,E5,IF($B$14=2,F5,G5))</f>
        <v>27000</v>
      </c>
      <c r="C19" s="35"/>
      <c r="D19" s="1"/>
      <c r="E19" s="1"/>
      <c r="F19" s="1"/>
      <c r="G19" s="1"/>
    </row>
    <row r="20" spans="1:64" x14ac:dyDescent="0.25">
      <c r="A20" s="2" t="s">
        <v>29</v>
      </c>
      <c r="B20" s="11">
        <f t="shared" si="0"/>
        <v>0.93</v>
      </c>
      <c r="C20" s="30"/>
      <c r="D20" s="1"/>
      <c r="E20" s="1"/>
      <c r="F20" s="1"/>
      <c r="G20" s="1"/>
    </row>
    <row r="21" spans="1:64" x14ac:dyDescent="0.25">
      <c r="A21" s="2" t="s">
        <v>30</v>
      </c>
      <c r="B21" s="10">
        <f t="shared" si="0"/>
        <v>18000000</v>
      </c>
      <c r="C21" s="29"/>
      <c r="D21" s="1"/>
      <c r="E21" s="1"/>
      <c r="F21" s="1"/>
      <c r="G21" s="1"/>
    </row>
    <row r="22" spans="1:64" x14ac:dyDescent="0.25">
      <c r="A22" s="2" t="s">
        <v>31</v>
      </c>
      <c r="B22" s="11">
        <f t="shared" si="0"/>
        <v>0.24</v>
      </c>
      <c r="C22" s="30"/>
      <c r="D22" s="1"/>
      <c r="E22" s="1"/>
      <c r="F22" s="1"/>
      <c r="G22" s="1"/>
    </row>
    <row r="23" spans="1:64" x14ac:dyDescent="0.25">
      <c r="A23" s="2" t="s">
        <v>32</v>
      </c>
      <c r="B23" s="11">
        <f t="shared" si="0"/>
        <v>0.02</v>
      </c>
      <c r="C23" s="30"/>
      <c r="D23" s="1"/>
      <c r="E23" s="1"/>
      <c r="F23" s="1"/>
      <c r="G23" s="1"/>
    </row>
    <row r="24" spans="1:64" x14ac:dyDescent="0.25">
      <c r="A24" s="2" t="s">
        <v>33</v>
      </c>
      <c r="B24" s="11">
        <f t="shared" si="0"/>
        <v>0.08</v>
      </c>
      <c r="C24" s="30"/>
      <c r="D24" s="1"/>
      <c r="E24" s="1"/>
      <c r="F24" s="1"/>
      <c r="G24" s="1"/>
    </row>
    <row r="25" spans="1:64" x14ac:dyDescent="0.25">
      <c r="A25" s="2" t="s">
        <v>34</v>
      </c>
      <c r="B25" s="11">
        <f t="shared" si="0"/>
        <v>0.06</v>
      </c>
      <c r="C25" s="30"/>
      <c r="D25" s="1"/>
      <c r="E25" s="1"/>
      <c r="F25" s="1"/>
      <c r="G25" s="1"/>
    </row>
    <row r="26" spans="1:64" x14ac:dyDescent="0.25">
      <c r="A26" s="2" t="s">
        <v>35</v>
      </c>
      <c r="B26" s="11">
        <f t="shared" si="0"/>
        <v>5.5E-2</v>
      </c>
      <c r="C26" s="30"/>
      <c r="D26" s="1"/>
      <c r="E26" s="1"/>
      <c r="F26" s="1"/>
      <c r="G26" s="1"/>
    </row>
    <row r="27" spans="1:64" x14ac:dyDescent="0.25">
      <c r="A27" s="2" t="s">
        <v>36</v>
      </c>
      <c r="B27" s="10">
        <f t="shared" si="0"/>
        <v>15000000</v>
      </c>
      <c r="C27" s="29"/>
      <c r="D27" s="1"/>
      <c r="E27" s="1"/>
      <c r="F27" s="1"/>
      <c r="G27" s="1"/>
    </row>
    <row r="28" spans="1:64" x14ac:dyDescent="0.25">
      <c r="B28" s="1"/>
      <c r="C28" s="1"/>
      <c r="D28" s="1"/>
      <c r="E28" s="1"/>
      <c r="F28" s="1"/>
      <c r="G28" s="1"/>
    </row>
    <row r="29" spans="1:64" ht="16.5" x14ac:dyDescent="0.3">
      <c r="A29" s="46" t="s">
        <v>215</v>
      </c>
      <c r="B29" s="1"/>
      <c r="C29" s="1"/>
      <c r="D29" s="1"/>
      <c r="E29" s="1"/>
      <c r="F29" s="1"/>
      <c r="G29" s="1"/>
    </row>
    <row r="30" spans="1:64" x14ac:dyDescent="0.25">
      <c r="A30" s="130" t="s">
        <v>37</v>
      </c>
      <c r="B30" s="125"/>
      <c r="C30" s="125"/>
      <c r="D30" s="125"/>
      <c r="E30" s="125"/>
      <c r="F30" s="125"/>
      <c r="G30" s="126"/>
    </row>
    <row r="31" spans="1:64" x14ac:dyDescent="0.25">
      <c r="A31" s="44"/>
      <c r="B31" s="23"/>
      <c r="C31" s="28"/>
      <c r="D31" s="42" t="s">
        <v>212</v>
      </c>
      <c r="E31" s="28"/>
      <c r="F31" s="28"/>
      <c r="G31" s="28"/>
    </row>
    <row r="32" spans="1:64" ht="15" customHeight="1" x14ac:dyDescent="0.25">
      <c r="A32" s="2" t="s">
        <v>38</v>
      </c>
      <c r="B32" s="14">
        <f>Q33</f>
        <v>61900</v>
      </c>
      <c r="C32" s="37"/>
      <c r="D32" s="49" t="s">
        <v>239</v>
      </c>
      <c r="E32" s="82" t="s">
        <v>240</v>
      </c>
      <c r="F32" s="82" t="s">
        <v>241</v>
      </c>
      <c r="G32" s="82" t="s">
        <v>242</v>
      </c>
      <c r="H32" s="49" t="s">
        <v>224</v>
      </c>
      <c r="I32" s="49" t="s">
        <v>225</v>
      </c>
      <c r="J32" s="49" t="s">
        <v>227</v>
      </c>
      <c r="K32" s="49" t="s">
        <v>243</v>
      </c>
      <c r="L32" s="49" t="s">
        <v>244</v>
      </c>
      <c r="M32" s="49" t="s">
        <v>245</v>
      </c>
      <c r="N32" s="49" t="s">
        <v>246</v>
      </c>
      <c r="O32" s="49" t="s">
        <v>329</v>
      </c>
      <c r="P32" s="49" t="s">
        <v>330</v>
      </c>
      <c r="Q32" s="49" t="s">
        <v>238</v>
      </c>
      <c r="R32" s="49" t="s">
        <v>247</v>
      </c>
      <c r="S32" s="49" t="s">
        <v>248</v>
      </c>
      <c r="T32" s="49" t="s">
        <v>331</v>
      </c>
      <c r="U32" s="49" t="s">
        <v>332</v>
      </c>
      <c r="V32" s="49" t="s">
        <v>249</v>
      </c>
      <c r="W32" s="49" t="s">
        <v>250</v>
      </c>
      <c r="X32" s="49" t="s">
        <v>251</v>
      </c>
      <c r="Y32" s="49" t="s">
        <v>252</v>
      </c>
      <c r="Z32" s="49" t="s">
        <v>253</v>
      </c>
      <c r="AA32" s="50" t="s">
        <v>254</v>
      </c>
      <c r="AB32" s="50" t="s">
        <v>367</v>
      </c>
      <c r="AC32" s="50" t="s">
        <v>368</v>
      </c>
      <c r="AD32" s="50" t="s">
        <v>369</v>
      </c>
      <c r="AE32" s="49" t="s">
        <v>255</v>
      </c>
      <c r="AF32" s="49" t="s">
        <v>256</v>
      </c>
      <c r="AG32" s="49" t="s">
        <v>333</v>
      </c>
      <c r="AH32" s="49" t="s">
        <v>334</v>
      </c>
      <c r="AI32" s="49" t="s">
        <v>257</v>
      </c>
      <c r="AJ32" s="49" t="s">
        <v>335</v>
      </c>
      <c r="AK32" s="49" t="s">
        <v>258</v>
      </c>
      <c r="AL32" s="49" t="s">
        <v>259</v>
      </c>
      <c r="AM32" s="49" t="s">
        <v>260</v>
      </c>
      <c r="AN32" s="49" t="s">
        <v>261</v>
      </c>
      <c r="AO32" s="49" t="s">
        <v>262</v>
      </c>
      <c r="AP32" s="49" t="s">
        <v>263</v>
      </c>
      <c r="AQ32" s="49" t="s">
        <v>264</v>
      </c>
      <c r="AR32" s="82" t="s">
        <v>336</v>
      </c>
      <c r="AS32" s="49" t="s">
        <v>337</v>
      </c>
      <c r="AT32" s="82" t="s">
        <v>338</v>
      </c>
      <c r="AU32" s="49" t="s">
        <v>339</v>
      </c>
      <c r="AV32" s="49" t="s">
        <v>340</v>
      </c>
      <c r="AW32" s="49" t="s">
        <v>341</v>
      </c>
      <c r="AX32" s="82" t="s">
        <v>265</v>
      </c>
      <c r="AY32" s="82" t="s">
        <v>266</v>
      </c>
      <c r="AZ32" s="82" t="s">
        <v>267</v>
      </c>
      <c r="BA32" s="82" t="s">
        <v>268</v>
      </c>
      <c r="BB32" s="82" t="s">
        <v>342</v>
      </c>
      <c r="BC32" s="50" t="s">
        <v>269</v>
      </c>
      <c r="BD32" s="50" t="s">
        <v>270</v>
      </c>
      <c r="BE32" s="49" t="s">
        <v>271</v>
      </c>
      <c r="BF32" s="82" t="s">
        <v>272</v>
      </c>
      <c r="BG32" s="82" t="s">
        <v>273</v>
      </c>
      <c r="BH32" s="82" t="s">
        <v>274</v>
      </c>
      <c r="BI32" s="82" t="s">
        <v>275</v>
      </c>
      <c r="BJ32" s="82" t="s">
        <v>276</v>
      </c>
      <c r="BK32" s="49" t="s">
        <v>277</v>
      </c>
      <c r="BL32" s="49" t="s">
        <v>278</v>
      </c>
    </row>
    <row r="33" spans="1:64" x14ac:dyDescent="0.25">
      <c r="A33" s="2" t="s">
        <v>39</v>
      </c>
      <c r="B33" s="57">
        <f>D39</f>
        <v>1.0068600000000001</v>
      </c>
      <c r="C33" s="37"/>
      <c r="D33" s="50" t="s">
        <v>279</v>
      </c>
      <c r="E33" s="50">
        <v>2023</v>
      </c>
      <c r="F33" s="50">
        <v>36110</v>
      </c>
      <c r="G33" s="50">
        <v>719</v>
      </c>
      <c r="H33" s="50" t="s">
        <v>353</v>
      </c>
      <c r="I33" s="50" t="s">
        <v>370</v>
      </c>
      <c r="J33" s="49" t="s">
        <v>344</v>
      </c>
      <c r="K33" s="83">
        <v>2861.3</v>
      </c>
      <c r="L33" s="50">
        <v>0</v>
      </c>
      <c r="M33" s="49" t="s">
        <v>344</v>
      </c>
      <c r="N33" s="50"/>
      <c r="O33" s="49" t="s">
        <v>345</v>
      </c>
      <c r="P33" s="49" t="s">
        <v>280</v>
      </c>
      <c r="Q33" s="59">
        <v>61900</v>
      </c>
      <c r="R33" s="49" t="s">
        <v>346</v>
      </c>
      <c r="S33" s="50"/>
      <c r="T33" s="49" t="s">
        <v>347</v>
      </c>
      <c r="U33" s="49" t="s">
        <v>348</v>
      </c>
      <c r="V33" s="49" t="s">
        <v>349</v>
      </c>
      <c r="W33" s="49" t="s">
        <v>350</v>
      </c>
      <c r="X33" s="49" t="s">
        <v>281</v>
      </c>
      <c r="Y33" s="49" t="s">
        <v>280</v>
      </c>
      <c r="Z33" s="52">
        <v>67500</v>
      </c>
      <c r="AA33" s="52">
        <v>63000</v>
      </c>
      <c r="AB33" s="52">
        <v>58500</v>
      </c>
      <c r="AC33" s="52">
        <v>56000</v>
      </c>
      <c r="AD33" s="52">
        <v>53000</v>
      </c>
      <c r="AE33" s="49" t="s">
        <v>280</v>
      </c>
      <c r="AF33" s="50"/>
      <c r="AG33" s="49" t="s">
        <v>145</v>
      </c>
      <c r="AH33" s="49" t="s">
        <v>145</v>
      </c>
      <c r="AI33" s="50"/>
      <c r="AJ33" s="50"/>
      <c r="AK33" s="49" t="s">
        <v>280</v>
      </c>
      <c r="AL33" s="49" t="s">
        <v>351</v>
      </c>
      <c r="AM33" s="50" t="s">
        <v>354</v>
      </c>
      <c r="AN33" s="49" t="s">
        <v>280</v>
      </c>
      <c r="AO33" s="49" t="s">
        <v>262</v>
      </c>
      <c r="AP33" s="49" t="s">
        <v>352</v>
      </c>
      <c r="AQ33" s="50">
        <v>0</v>
      </c>
      <c r="AR33" s="50"/>
      <c r="AS33" s="50"/>
      <c r="AT33" s="50"/>
      <c r="AU33" s="50"/>
      <c r="AV33" s="50"/>
      <c r="AW33" s="50"/>
      <c r="AX33" s="49" t="s">
        <v>280</v>
      </c>
      <c r="AY33" s="49" t="s">
        <v>280</v>
      </c>
      <c r="AZ33" s="49" t="s">
        <v>371</v>
      </c>
      <c r="BA33" s="50">
        <v>0</v>
      </c>
      <c r="BB33" s="50">
        <v>0</v>
      </c>
      <c r="BC33" s="49" t="s">
        <v>372</v>
      </c>
      <c r="BD33" s="49" t="s">
        <v>373</v>
      </c>
      <c r="BE33" s="50" t="s">
        <v>283</v>
      </c>
      <c r="BF33" s="50" t="s">
        <v>283</v>
      </c>
      <c r="BG33" s="50" t="s">
        <v>283</v>
      </c>
      <c r="BH33" s="50" t="s">
        <v>283</v>
      </c>
      <c r="BI33" s="50" t="s">
        <v>283</v>
      </c>
      <c r="BJ33" s="50" t="s">
        <v>283</v>
      </c>
      <c r="BK33" s="50" t="s">
        <v>283</v>
      </c>
      <c r="BL33" s="50" t="s">
        <v>282</v>
      </c>
    </row>
    <row r="34" spans="1:64" x14ac:dyDescent="0.25">
      <c r="A34" s="2" t="s">
        <v>40</v>
      </c>
      <c r="B34" s="24">
        <v>1</v>
      </c>
      <c r="C34" s="38"/>
      <c r="D34" s="49" t="s">
        <v>381</v>
      </c>
      <c r="E34" s="49" t="s">
        <v>228</v>
      </c>
      <c r="F34" s="49" t="s">
        <v>382</v>
      </c>
      <c r="G34" s="49" t="s">
        <v>383</v>
      </c>
      <c r="H34" s="50"/>
      <c r="I34" s="49" t="s">
        <v>132</v>
      </c>
    </row>
    <row r="35" spans="1:64" x14ac:dyDescent="0.25">
      <c r="A35" s="2" t="s">
        <v>41</v>
      </c>
      <c r="B35" s="14">
        <v>1</v>
      </c>
      <c r="C35" s="37"/>
      <c r="D35" s="49" t="s">
        <v>384</v>
      </c>
      <c r="E35" s="50"/>
      <c r="F35" s="50"/>
      <c r="G35" s="50"/>
      <c r="H35" s="50"/>
      <c r="I35" s="50"/>
    </row>
    <row r="36" spans="1:64" x14ac:dyDescent="0.25">
      <c r="A36" s="2" t="s">
        <v>42</v>
      </c>
      <c r="B36" s="14">
        <v>1</v>
      </c>
      <c r="C36" s="37"/>
      <c r="D36" s="50"/>
      <c r="E36" s="49" t="s">
        <v>385</v>
      </c>
      <c r="F36" s="50">
        <v>0.68600000000000005</v>
      </c>
      <c r="G36" s="50" t="s">
        <v>386</v>
      </c>
      <c r="H36" s="50"/>
      <c r="I36" s="50"/>
    </row>
    <row r="37" spans="1:64" x14ac:dyDescent="0.25">
      <c r="A37" s="2" t="s">
        <v>43</v>
      </c>
      <c r="B37" s="14">
        <v>1.01</v>
      </c>
      <c r="C37" s="37"/>
      <c r="D37" s="50" t="s">
        <v>387</v>
      </c>
      <c r="E37" s="50" t="s">
        <v>388</v>
      </c>
      <c r="F37" s="50"/>
      <c r="G37" s="50"/>
      <c r="H37" s="50"/>
      <c r="I37" s="50"/>
    </row>
    <row r="38" spans="1:64" x14ac:dyDescent="0.25">
      <c r="A38" s="2" t="s">
        <v>44</v>
      </c>
      <c r="B38" s="14">
        <v>1</v>
      </c>
      <c r="C38" s="37"/>
      <c r="D38" s="50" t="s">
        <v>389</v>
      </c>
      <c r="E38" s="50"/>
      <c r="F38" s="50"/>
      <c r="G38" s="50"/>
      <c r="H38" s="50"/>
      <c r="I38" s="50"/>
    </row>
    <row r="39" spans="1:64" x14ac:dyDescent="0.25">
      <c r="A39" s="2" t="s">
        <v>45</v>
      </c>
      <c r="B39" s="14">
        <v>1</v>
      </c>
      <c r="C39" s="37"/>
      <c r="D39" s="86">
        <v>1.0068600000000001</v>
      </c>
      <c r="E39" s="50"/>
      <c r="F39" s="50"/>
      <c r="G39" s="50"/>
      <c r="H39" s="50"/>
      <c r="I39" s="50"/>
    </row>
    <row r="40" spans="1:64" x14ac:dyDescent="0.25">
      <c r="A40" s="2" t="s">
        <v>46</v>
      </c>
      <c r="B40" s="14">
        <v>1.01</v>
      </c>
      <c r="C40" s="37"/>
    </row>
    <row r="41" spans="1:64" x14ac:dyDescent="0.25">
      <c r="A41" s="2"/>
      <c r="B41" s="36"/>
      <c r="C41" s="37"/>
      <c r="D41" s="42" t="s">
        <v>212</v>
      </c>
    </row>
    <row r="42" spans="1:64" ht="13.5" customHeight="1" x14ac:dyDescent="0.25">
      <c r="A42" s="2" t="s">
        <v>47</v>
      </c>
      <c r="B42" s="14">
        <f>N46</f>
        <v>458715000</v>
      </c>
      <c r="C42" s="37"/>
      <c r="D42" s="50" t="s">
        <v>284</v>
      </c>
      <c r="E42" s="49" t="s">
        <v>285</v>
      </c>
      <c r="F42" s="49" t="s">
        <v>286</v>
      </c>
      <c r="G42" s="49" t="s">
        <v>287</v>
      </c>
      <c r="H42" s="49" t="s">
        <v>288</v>
      </c>
      <c r="I42" s="49" t="s">
        <v>224</v>
      </c>
      <c r="J42" s="49" t="s">
        <v>355</v>
      </c>
      <c r="K42" s="49" t="s">
        <v>225</v>
      </c>
      <c r="L42" s="49" t="s">
        <v>233</v>
      </c>
      <c r="M42" s="49" t="s">
        <v>243</v>
      </c>
      <c r="N42" s="82" t="s">
        <v>356</v>
      </c>
      <c r="O42" s="82" t="s">
        <v>357</v>
      </c>
      <c r="P42" s="49" t="s">
        <v>358</v>
      </c>
      <c r="Q42" s="49" t="s">
        <v>289</v>
      </c>
      <c r="R42" s="82" t="s">
        <v>359</v>
      </c>
      <c r="S42" s="49" t="s">
        <v>290</v>
      </c>
      <c r="T42" s="58" t="s">
        <v>291</v>
      </c>
      <c r="U42" s="58" t="s">
        <v>292</v>
      </c>
      <c r="V42" s="58" t="s">
        <v>293</v>
      </c>
      <c r="W42" s="58" t="s">
        <v>294</v>
      </c>
      <c r="X42" s="58" t="s">
        <v>295</v>
      </c>
      <c r="Y42" s="58" t="s">
        <v>296</v>
      </c>
      <c r="Z42" s="58" t="s">
        <v>297</v>
      </c>
      <c r="AA42" s="58" t="s">
        <v>298</v>
      </c>
      <c r="AB42" s="49" t="s">
        <v>299</v>
      </c>
      <c r="AC42" s="49" t="s">
        <v>300</v>
      </c>
      <c r="AD42" s="49" t="s">
        <v>301</v>
      </c>
      <c r="AE42" s="82" t="s">
        <v>302</v>
      </c>
      <c r="AF42" s="82" t="s">
        <v>303</v>
      </c>
      <c r="AG42" s="82" t="s">
        <v>272</v>
      </c>
      <c r="AH42" s="82" t="s">
        <v>273</v>
      </c>
      <c r="AI42" s="82" t="s">
        <v>274</v>
      </c>
      <c r="AJ42" s="82" t="s">
        <v>275</v>
      </c>
      <c r="AK42" s="82" t="s">
        <v>276</v>
      </c>
      <c r="AL42" s="49" t="s">
        <v>277</v>
      </c>
      <c r="AM42" s="49" t="s">
        <v>304</v>
      </c>
      <c r="AN42" s="49" t="s">
        <v>305</v>
      </c>
      <c r="AO42" s="49" t="s">
        <v>132</v>
      </c>
    </row>
    <row r="43" spans="1:64" x14ac:dyDescent="0.25">
      <c r="A43" s="2" t="s">
        <v>48</v>
      </c>
      <c r="B43" s="14">
        <f>M46</f>
        <v>2861.3</v>
      </c>
      <c r="C43" s="37"/>
      <c r="D43" s="50" t="s">
        <v>279</v>
      </c>
      <c r="E43" s="49" t="s">
        <v>360</v>
      </c>
      <c r="F43" s="50"/>
      <c r="G43" s="50">
        <v>2023</v>
      </c>
      <c r="H43" s="49" t="s">
        <v>237</v>
      </c>
      <c r="I43" s="49" t="s">
        <v>361</v>
      </c>
      <c r="J43" s="50" t="s">
        <v>374</v>
      </c>
      <c r="K43" s="50" t="s">
        <v>375</v>
      </c>
      <c r="L43" s="52">
        <v>250000</v>
      </c>
      <c r="M43" s="86">
        <v>5963.3</v>
      </c>
      <c r="N43" s="49" t="s">
        <v>344</v>
      </c>
      <c r="O43" s="49" t="s">
        <v>362</v>
      </c>
      <c r="P43" s="50">
        <v>250000</v>
      </c>
      <c r="Q43" s="51">
        <v>45023</v>
      </c>
      <c r="R43" s="59">
        <v>1490825000</v>
      </c>
      <c r="S43" s="52">
        <v>1573240900</v>
      </c>
      <c r="T43" s="50">
        <v>2023</v>
      </c>
      <c r="U43" s="52">
        <v>63400</v>
      </c>
      <c r="V43" s="49" t="s">
        <v>344</v>
      </c>
      <c r="W43" s="49" t="s">
        <v>344</v>
      </c>
      <c r="X43" s="49" t="s">
        <v>362</v>
      </c>
      <c r="Y43" s="49" t="s">
        <v>376</v>
      </c>
      <c r="Z43" s="49" t="s">
        <v>350</v>
      </c>
      <c r="AA43" s="49" t="s">
        <v>281</v>
      </c>
      <c r="AB43" s="49" t="s">
        <v>363</v>
      </c>
      <c r="AC43" s="50"/>
      <c r="AD43" s="50" t="s">
        <v>282</v>
      </c>
      <c r="AE43" s="50"/>
      <c r="AF43" s="50" t="s">
        <v>282</v>
      </c>
      <c r="AG43" s="50" t="s">
        <v>283</v>
      </c>
      <c r="AH43" s="50" t="s">
        <v>283</v>
      </c>
      <c r="AI43" s="50" t="s">
        <v>282</v>
      </c>
      <c r="AJ43" s="50" t="s">
        <v>283</v>
      </c>
      <c r="AK43" s="50" t="s">
        <v>283</v>
      </c>
      <c r="AL43" s="50" t="s">
        <v>283</v>
      </c>
      <c r="AM43" s="49">
        <v>400635</v>
      </c>
      <c r="AN43" s="49" t="s">
        <v>377</v>
      </c>
      <c r="AO43" s="49"/>
    </row>
    <row r="44" spans="1:64" x14ac:dyDescent="0.25">
      <c r="A44" s="2" t="s">
        <v>49</v>
      </c>
      <c r="B44" s="14">
        <v>1400000</v>
      </c>
      <c r="C44" s="37"/>
      <c r="D44" s="43" t="s">
        <v>213</v>
      </c>
    </row>
    <row r="45" spans="1:64" x14ac:dyDescent="0.25">
      <c r="A45" s="2" t="s">
        <v>50</v>
      </c>
      <c r="B45" s="24">
        <v>0.2</v>
      </c>
      <c r="C45" s="38"/>
      <c r="D45" s="49" t="s">
        <v>222</v>
      </c>
      <c r="E45" s="49" t="s">
        <v>223</v>
      </c>
      <c r="F45" s="49" t="s">
        <v>224</v>
      </c>
      <c r="G45" s="49" t="s">
        <v>225</v>
      </c>
      <c r="H45" s="49" t="s">
        <v>226</v>
      </c>
      <c r="I45" s="49" t="s">
        <v>227</v>
      </c>
      <c r="J45" s="49" t="s">
        <v>228</v>
      </c>
      <c r="K45" s="49" t="s">
        <v>229</v>
      </c>
      <c r="L45" s="49" t="s">
        <v>230</v>
      </c>
      <c r="M45" s="49" t="s">
        <v>231</v>
      </c>
      <c r="N45" s="49" t="s">
        <v>232</v>
      </c>
      <c r="O45" s="49" t="s">
        <v>233</v>
      </c>
      <c r="P45" s="49" t="s">
        <v>234</v>
      </c>
    </row>
    <row r="46" spans="1:64" x14ac:dyDescent="0.25">
      <c r="A46" s="2" t="s">
        <v>51</v>
      </c>
      <c r="B46" s="57">
        <f>D53</f>
        <v>1.0068600000000001</v>
      </c>
      <c r="C46" s="37"/>
      <c r="D46" s="50">
        <v>1</v>
      </c>
      <c r="E46" s="49" t="s">
        <v>364</v>
      </c>
      <c r="F46" s="49" t="s">
        <v>365</v>
      </c>
      <c r="G46" s="50" t="s">
        <v>343</v>
      </c>
      <c r="H46" s="49" t="s">
        <v>237</v>
      </c>
      <c r="I46" s="49" t="s">
        <v>344</v>
      </c>
      <c r="J46" s="49" t="s">
        <v>345</v>
      </c>
      <c r="K46" s="51">
        <v>45815</v>
      </c>
      <c r="L46" s="83">
        <v>2861.3</v>
      </c>
      <c r="M46" s="94">
        <v>2861.3</v>
      </c>
      <c r="N46" s="59">
        <v>458715000</v>
      </c>
      <c r="O46" s="52">
        <v>160316</v>
      </c>
      <c r="P46" s="51"/>
    </row>
    <row r="47" spans="1:64" x14ac:dyDescent="0.25">
      <c r="A47" s="2" t="s">
        <v>52</v>
      </c>
      <c r="B47" s="24">
        <v>1</v>
      </c>
      <c r="C47" s="38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</row>
    <row r="48" spans="1:64" x14ac:dyDescent="0.25">
      <c r="A48" s="2" t="s">
        <v>53</v>
      </c>
      <c r="B48" s="95">
        <v>1</v>
      </c>
      <c r="C48" s="37"/>
      <c r="D48" s="50"/>
      <c r="E48" s="49"/>
      <c r="F48" s="50"/>
      <c r="G48" s="50"/>
      <c r="H48" s="49"/>
      <c r="I48" s="49"/>
      <c r="J48" s="49"/>
      <c r="K48" s="51"/>
      <c r="L48" s="50"/>
      <c r="M48" s="50"/>
      <c r="N48" s="52"/>
      <c r="O48" s="50"/>
      <c r="P48" s="51"/>
    </row>
    <row r="49" spans="1:31" x14ac:dyDescent="0.25">
      <c r="A49" s="2" t="s">
        <v>54</v>
      </c>
      <c r="B49" s="95">
        <v>0.99</v>
      </c>
      <c r="C49" s="37"/>
      <c r="D49" s="49" t="s">
        <v>384</v>
      </c>
      <c r="E49" s="50"/>
      <c r="F49" s="50"/>
      <c r="G49" s="50"/>
      <c r="H49" s="50"/>
      <c r="I49" s="50"/>
      <c r="J49" s="53"/>
      <c r="K49" s="53"/>
      <c r="L49" s="53"/>
      <c r="M49" s="53"/>
      <c r="N49" s="53"/>
      <c r="O49" s="53"/>
      <c r="P49" s="53"/>
    </row>
    <row r="50" spans="1:31" x14ac:dyDescent="0.25">
      <c r="A50" s="2" t="s">
        <v>55</v>
      </c>
      <c r="B50" s="95">
        <v>0.99</v>
      </c>
      <c r="C50" s="37"/>
      <c r="D50" s="50"/>
      <c r="E50" s="49" t="s">
        <v>385</v>
      </c>
      <c r="F50" s="50">
        <v>0.68600000000000005</v>
      </c>
      <c r="G50" s="50" t="s">
        <v>386</v>
      </c>
      <c r="H50" s="50"/>
      <c r="I50" s="50"/>
    </row>
    <row r="51" spans="1:31" x14ac:dyDescent="0.25">
      <c r="A51" s="2" t="s">
        <v>56</v>
      </c>
      <c r="B51" s="95">
        <v>0.98</v>
      </c>
      <c r="C51" s="37"/>
      <c r="D51" s="50" t="s">
        <v>387</v>
      </c>
      <c r="E51" s="50" t="s">
        <v>388</v>
      </c>
      <c r="F51" s="50"/>
      <c r="G51" s="50"/>
      <c r="H51" s="50"/>
      <c r="I51" s="50"/>
    </row>
    <row r="52" spans="1:31" x14ac:dyDescent="0.25">
      <c r="A52" s="2" t="s">
        <v>57</v>
      </c>
      <c r="B52" s="95">
        <v>1</v>
      </c>
      <c r="C52" s="37"/>
      <c r="D52" s="50" t="s">
        <v>389</v>
      </c>
      <c r="E52" s="50"/>
      <c r="F52" s="50"/>
      <c r="G52" s="50"/>
      <c r="H52" s="50"/>
      <c r="I52" s="50"/>
    </row>
    <row r="53" spans="1:31" x14ac:dyDescent="0.25">
      <c r="A53" s="2" t="s">
        <v>58</v>
      </c>
      <c r="B53" s="95">
        <v>1</v>
      </c>
      <c r="C53" s="37"/>
      <c r="D53" s="86">
        <v>1.0068600000000001</v>
      </c>
      <c r="E53" s="50"/>
      <c r="F53" s="50"/>
      <c r="G53" s="50"/>
      <c r="H53" s="50"/>
      <c r="I53" s="50"/>
    </row>
    <row r="54" spans="1:31" x14ac:dyDescent="0.25">
      <c r="A54" s="2" t="s">
        <v>59</v>
      </c>
      <c r="B54" s="24">
        <v>0.5</v>
      </c>
      <c r="C54" s="38"/>
      <c r="Q54" s="48"/>
      <c r="R54" s="48"/>
      <c r="S54" s="48"/>
      <c r="T54" s="48"/>
      <c r="V54" s="48"/>
    </row>
    <row r="55" spans="1:31" x14ac:dyDescent="0.25">
      <c r="A55" s="2" t="s">
        <v>60</v>
      </c>
      <c r="B55" s="24">
        <v>0.5</v>
      </c>
      <c r="C55" s="38"/>
      <c r="Q55" s="48"/>
    </row>
    <row r="56" spans="1:31" x14ac:dyDescent="0.25">
      <c r="A56" s="13"/>
      <c r="B56" s="45"/>
      <c r="C56" s="39"/>
      <c r="D56" s="43" t="s">
        <v>213</v>
      </c>
      <c r="Q56" s="48"/>
      <c r="R56" s="48"/>
    </row>
    <row r="57" spans="1:31" ht="16.5" x14ac:dyDescent="0.25">
      <c r="A57" s="2" t="s">
        <v>61</v>
      </c>
      <c r="B57" s="14">
        <f>N58</f>
        <v>5000000000</v>
      </c>
      <c r="C57" s="37"/>
      <c r="D57" s="49" t="s">
        <v>222</v>
      </c>
      <c r="E57" s="49" t="s">
        <v>223</v>
      </c>
      <c r="F57" s="49" t="s">
        <v>224</v>
      </c>
      <c r="G57" s="49" t="s">
        <v>225</v>
      </c>
      <c r="H57" s="49" t="s">
        <v>226</v>
      </c>
      <c r="I57" s="49" t="s">
        <v>227</v>
      </c>
      <c r="J57" s="49" t="s">
        <v>228</v>
      </c>
      <c r="K57" s="49" t="s">
        <v>229</v>
      </c>
      <c r="L57" s="49" t="s">
        <v>230</v>
      </c>
      <c r="M57" s="49" t="s">
        <v>231</v>
      </c>
      <c r="N57" s="49" t="s">
        <v>232</v>
      </c>
      <c r="O57" s="49" t="s">
        <v>233</v>
      </c>
      <c r="P57" s="49" t="s">
        <v>234</v>
      </c>
      <c r="R57" s="121" t="s">
        <v>400</v>
      </c>
    </row>
    <row r="58" spans="1:31" x14ac:dyDescent="0.25">
      <c r="A58" s="2" t="s">
        <v>62</v>
      </c>
      <c r="B58" s="14">
        <f>M60</f>
        <v>331</v>
      </c>
      <c r="C58" s="37"/>
      <c r="D58" s="50">
        <v>1</v>
      </c>
      <c r="E58" s="49" t="s">
        <v>396</v>
      </c>
      <c r="F58" s="49" t="s">
        <v>397</v>
      </c>
      <c r="G58" s="50" t="s">
        <v>398</v>
      </c>
      <c r="H58" s="49" t="s">
        <v>235</v>
      </c>
      <c r="I58" s="49" t="s">
        <v>236</v>
      </c>
      <c r="J58" s="49" t="s">
        <v>399</v>
      </c>
      <c r="K58" s="51">
        <v>45992</v>
      </c>
      <c r="L58" s="83">
        <v>836.22</v>
      </c>
      <c r="M58" s="83">
        <v>836.22</v>
      </c>
      <c r="N58" s="59">
        <v>5000000000</v>
      </c>
      <c r="O58" s="52"/>
      <c r="P58" s="51">
        <v>37207</v>
      </c>
      <c r="R58" s="122">
        <v>1350000</v>
      </c>
    </row>
    <row r="59" spans="1:31" ht="16.5" x14ac:dyDescent="0.25">
      <c r="A59" s="110" t="s">
        <v>390</v>
      </c>
      <c r="B59" s="14">
        <f>R58*M58</f>
        <v>1128897000</v>
      </c>
      <c r="C59" s="37"/>
      <c r="D59" s="49" t="s">
        <v>222</v>
      </c>
      <c r="E59" s="49" t="s">
        <v>223</v>
      </c>
      <c r="F59" s="49" t="s">
        <v>224</v>
      </c>
      <c r="G59" s="49" t="s">
        <v>225</v>
      </c>
      <c r="H59" s="49" t="s">
        <v>226</v>
      </c>
      <c r="I59" s="49" t="s">
        <v>227</v>
      </c>
      <c r="J59" s="49" t="s">
        <v>228</v>
      </c>
      <c r="K59" s="118" t="s">
        <v>229</v>
      </c>
      <c r="L59" s="119" t="s">
        <v>230</v>
      </c>
      <c r="M59" s="119" t="s">
        <v>231</v>
      </c>
      <c r="N59" s="120" t="s">
        <v>232</v>
      </c>
      <c r="O59" s="84" t="s">
        <v>233</v>
      </c>
      <c r="P59" s="118" t="s">
        <v>234</v>
      </c>
    </row>
    <row r="60" spans="1:31" ht="16.5" x14ac:dyDescent="0.25">
      <c r="A60" s="60" t="s">
        <v>391</v>
      </c>
      <c r="B60" s="24">
        <v>0.9</v>
      </c>
      <c r="C60" s="37"/>
      <c r="D60" s="50">
        <v>1</v>
      </c>
      <c r="E60" s="49" t="s">
        <v>396</v>
      </c>
      <c r="F60" s="49" t="s">
        <v>397</v>
      </c>
      <c r="G60" s="50" t="s">
        <v>398</v>
      </c>
      <c r="H60" s="49" t="s">
        <v>237</v>
      </c>
      <c r="I60" s="49" t="s">
        <v>236</v>
      </c>
      <c r="J60" s="49" t="s">
        <v>399</v>
      </c>
      <c r="K60" s="51">
        <v>45992</v>
      </c>
      <c r="L60" s="83">
        <v>331</v>
      </c>
      <c r="M60" s="83">
        <v>331</v>
      </c>
      <c r="N60" s="59">
        <v>5000000000</v>
      </c>
      <c r="O60" s="52"/>
      <c r="P60" s="51">
        <v>37207</v>
      </c>
    </row>
    <row r="61" spans="1:31" x14ac:dyDescent="0.25">
      <c r="A61" s="2" t="s">
        <v>63</v>
      </c>
      <c r="B61" s="24">
        <v>1</v>
      </c>
      <c r="C61" s="38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</row>
    <row r="62" spans="1:31" x14ac:dyDescent="0.25">
      <c r="A62" s="2" t="s">
        <v>64</v>
      </c>
      <c r="B62" s="57">
        <f>D66</f>
        <v>1.0068600000000001</v>
      </c>
      <c r="C62" s="37"/>
      <c r="D62" s="49" t="s">
        <v>384</v>
      </c>
      <c r="E62" s="50"/>
      <c r="F62" s="50"/>
      <c r="G62" s="50"/>
      <c r="H62" s="50"/>
      <c r="I62" s="50"/>
      <c r="J62" s="49"/>
      <c r="K62" s="51"/>
      <c r="L62" s="83"/>
      <c r="M62" s="83"/>
      <c r="N62" s="109"/>
      <c r="O62" s="52"/>
      <c r="P62" s="51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</row>
    <row r="63" spans="1:31" x14ac:dyDescent="0.25">
      <c r="A63" s="2" t="s">
        <v>65</v>
      </c>
      <c r="B63" s="24">
        <v>1.01</v>
      </c>
      <c r="C63" s="38"/>
      <c r="D63" s="50"/>
      <c r="E63" s="49" t="s">
        <v>385</v>
      </c>
      <c r="F63" s="50">
        <v>0.68600000000000005</v>
      </c>
      <c r="G63" s="50" t="s">
        <v>386</v>
      </c>
      <c r="H63" s="50"/>
      <c r="I63" s="50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3"/>
      <c r="AA63" s="53"/>
      <c r="AB63" s="54"/>
      <c r="AC63" s="53"/>
      <c r="AD63" s="53"/>
      <c r="AE63" s="53"/>
    </row>
    <row r="64" spans="1:31" x14ac:dyDescent="0.25">
      <c r="A64" s="2" t="s">
        <v>66</v>
      </c>
      <c r="B64" s="14">
        <v>1</v>
      </c>
      <c r="C64" s="37"/>
      <c r="D64" s="50" t="s">
        <v>387</v>
      </c>
      <c r="E64" s="50" t="s">
        <v>388</v>
      </c>
      <c r="F64" s="50"/>
      <c r="G64" s="50"/>
      <c r="H64" s="50"/>
      <c r="I64" s="50"/>
      <c r="J64" s="53"/>
      <c r="K64" s="54"/>
      <c r="L64" s="54"/>
      <c r="M64" s="53"/>
      <c r="N64" s="53"/>
      <c r="O64" s="54"/>
      <c r="P64" s="53"/>
      <c r="Q64" s="55"/>
      <c r="R64" s="55"/>
      <c r="S64" s="53"/>
      <c r="T64" s="53"/>
      <c r="U64" s="56"/>
      <c r="V64" s="54"/>
      <c r="W64" s="54"/>
      <c r="X64" s="53"/>
      <c r="Y64" s="54"/>
      <c r="Z64" s="54"/>
      <c r="AA64" s="53"/>
      <c r="AB64" s="55"/>
      <c r="AC64" s="54"/>
      <c r="AD64" s="53"/>
      <c r="AE64" s="54"/>
    </row>
    <row r="65" spans="1:18" x14ac:dyDescent="0.25">
      <c r="A65" s="2" t="s">
        <v>67</v>
      </c>
      <c r="B65" s="14">
        <v>1</v>
      </c>
      <c r="C65" s="37"/>
      <c r="D65" s="50" t="s">
        <v>389</v>
      </c>
      <c r="E65" s="50"/>
      <c r="F65" s="50"/>
      <c r="G65" s="50"/>
      <c r="H65" s="50"/>
      <c r="I65" s="50"/>
    </row>
    <row r="66" spans="1:18" x14ac:dyDescent="0.25">
      <c r="A66" s="2" t="s">
        <v>68</v>
      </c>
      <c r="B66" s="14">
        <v>0.99</v>
      </c>
      <c r="C66" s="37"/>
      <c r="D66" s="86">
        <v>1.0068600000000001</v>
      </c>
      <c r="E66" s="50"/>
      <c r="F66" s="50"/>
      <c r="G66" s="50"/>
      <c r="H66" s="50"/>
      <c r="I66" s="50"/>
    </row>
    <row r="67" spans="1:18" x14ac:dyDescent="0.25">
      <c r="A67" s="2" t="s">
        <v>69</v>
      </c>
      <c r="B67" s="14">
        <v>1</v>
      </c>
      <c r="C67" s="37"/>
    </row>
    <row r="68" spans="1:18" x14ac:dyDescent="0.25">
      <c r="A68" s="2" t="s">
        <v>70</v>
      </c>
      <c r="B68" s="14">
        <v>1</v>
      </c>
      <c r="C68" s="37"/>
    </row>
    <row r="69" spans="1:18" x14ac:dyDescent="0.25">
      <c r="A69" s="2" t="s">
        <v>71</v>
      </c>
      <c r="B69" s="14">
        <v>1</v>
      </c>
      <c r="C69" s="37"/>
    </row>
    <row r="70" spans="1:18" x14ac:dyDescent="0.25">
      <c r="A70" s="2" t="s">
        <v>72</v>
      </c>
      <c r="B70" s="24">
        <v>0.35</v>
      </c>
      <c r="C70" s="38"/>
    </row>
    <row r="71" spans="1:18" x14ac:dyDescent="0.25">
      <c r="A71" s="2"/>
      <c r="B71" s="40"/>
      <c r="C71" s="38"/>
      <c r="D71" s="43" t="s">
        <v>213</v>
      </c>
    </row>
    <row r="72" spans="1:18" ht="16.5" x14ac:dyDescent="0.25">
      <c r="A72" s="2" t="s">
        <v>73</v>
      </c>
      <c r="B72" s="14">
        <f>N75</f>
        <v>458715000</v>
      </c>
      <c r="C72" s="37"/>
      <c r="D72" s="49" t="s">
        <v>222</v>
      </c>
      <c r="E72" s="49" t="s">
        <v>223</v>
      </c>
      <c r="F72" s="49" t="s">
        <v>224</v>
      </c>
      <c r="G72" s="49" t="s">
        <v>225</v>
      </c>
      <c r="H72" s="49" t="s">
        <v>226</v>
      </c>
      <c r="I72" s="49" t="s">
        <v>227</v>
      </c>
      <c r="J72" s="49" t="s">
        <v>228</v>
      </c>
      <c r="K72" s="49" t="s">
        <v>229</v>
      </c>
      <c r="L72" s="49" t="s">
        <v>230</v>
      </c>
      <c r="M72" s="49" t="s">
        <v>231</v>
      </c>
      <c r="N72" s="49" t="s">
        <v>232</v>
      </c>
      <c r="O72" s="49" t="s">
        <v>233</v>
      </c>
      <c r="P72" s="49" t="s">
        <v>234</v>
      </c>
      <c r="R72" s="121" t="s">
        <v>400</v>
      </c>
    </row>
    <row r="73" spans="1:18" x14ac:dyDescent="0.25">
      <c r="A73" s="2" t="s">
        <v>74</v>
      </c>
      <c r="B73" s="14">
        <f>M75</f>
        <v>2861.3</v>
      </c>
      <c r="C73" s="37"/>
      <c r="D73" s="50">
        <v>1</v>
      </c>
      <c r="E73" s="49" t="s">
        <v>380</v>
      </c>
      <c r="F73" s="49" t="s">
        <v>366</v>
      </c>
      <c r="G73" s="50" t="s">
        <v>343</v>
      </c>
      <c r="H73" s="49" t="s">
        <v>237</v>
      </c>
      <c r="I73" s="49" t="s">
        <v>344</v>
      </c>
      <c r="J73" s="49" t="s">
        <v>345</v>
      </c>
      <c r="K73" s="51">
        <v>45815</v>
      </c>
      <c r="L73" s="83">
        <v>2861.3</v>
      </c>
      <c r="M73" s="83">
        <v>2861.3</v>
      </c>
      <c r="N73" s="59">
        <v>458715000</v>
      </c>
      <c r="O73" s="52">
        <v>160316</v>
      </c>
      <c r="P73" s="50"/>
      <c r="R73" s="122">
        <v>1350000</v>
      </c>
    </row>
    <row r="74" spans="1:18" ht="16.5" x14ac:dyDescent="0.25">
      <c r="A74" s="110" t="s">
        <v>392</v>
      </c>
      <c r="B74" s="14">
        <f>R73*M73</f>
        <v>3862755000.0000005</v>
      </c>
      <c r="C74" s="37"/>
      <c r="D74" s="49" t="s">
        <v>222</v>
      </c>
      <c r="E74" s="49" t="s">
        <v>223</v>
      </c>
      <c r="F74" s="49" t="s">
        <v>224</v>
      </c>
      <c r="G74" s="49" t="s">
        <v>225</v>
      </c>
      <c r="H74" s="49" t="s">
        <v>226</v>
      </c>
      <c r="I74" s="49" t="s">
        <v>227</v>
      </c>
      <c r="J74" s="49" t="s">
        <v>228</v>
      </c>
      <c r="K74" s="49" t="s">
        <v>229</v>
      </c>
      <c r="L74" s="49" t="s">
        <v>230</v>
      </c>
      <c r="M74" s="49" t="s">
        <v>231</v>
      </c>
      <c r="N74" s="49" t="s">
        <v>232</v>
      </c>
      <c r="O74" s="49" t="s">
        <v>233</v>
      </c>
      <c r="P74" s="49" t="s">
        <v>234</v>
      </c>
    </row>
    <row r="75" spans="1:18" ht="16.5" x14ac:dyDescent="0.25">
      <c r="A75" s="60" t="s">
        <v>393</v>
      </c>
      <c r="B75" s="24">
        <v>0.2</v>
      </c>
      <c r="C75" s="37"/>
      <c r="D75" s="50">
        <v>1</v>
      </c>
      <c r="E75" s="49" t="s">
        <v>380</v>
      </c>
      <c r="F75" s="49" t="s">
        <v>366</v>
      </c>
      <c r="G75" s="50" t="s">
        <v>343</v>
      </c>
      <c r="H75" s="49" t="s">
        <v>237</v>
      </c>
      <c r="I75" s="49" t="s">
        <v>344</v>
      </c>
      <c r="J75" s="49" t="s">
        <v>345</v>
      </c>
      <c r="K75" s="51">
        <v>45815</v>
      </c>
      <c r="L75" s="83">
        <v>2861.3</v>
      </c>
      <c r="M75" s="83">
        <v>2861.3</v>
      </c>
      <c r="N75" s="59">
        <v>458715000</v>
      </c>
      <c r="O75" s="52">
        <v>160316</v>
      </c>
      <c r="P75" s="50"/>
    </row>
    <row r="76" spans="1:18" x14ac:dyDescent="0.25">
      <c r="A76" s="2" t="s">
        <v>75</v>
      </c>
      <c r="B76" s="24">
        <v>1</v>
      </c>
      <c r="C76" s="38"/>
    </row>
    <row r="77" spans="1:18" x14ac:dyDescent="0.25">
      <c r="A77" s="2" t="s">
        <v>76</v>
      </c>
      <c r="B77" s="57">
        <f>D81</f>
        <v>1.0068600000000001</v>
      </c>
      <c r="C77" s="37"/>
      <c r="D77" s="49" t="s">
        <v>384</v>
      </c>
      <c r="E77" s="50"/>
      <c r="F77" s="50"/>
      <c r="G77" s="50"/>
      <c r="H77" s="50"/>
      <c r="I77" s="50"/>
    </row>
    <row r="78" spans="1:18" x14ac:dyDescent="0.25">
      <c r="A78" s="2" t="s">
        <v>77</v>
      </c>
      <c r="B78" s="24">
        <v>1</v>
      </c>
      <c r="C78" s="38"/>
      <c r="D78" s="50"/>
      <c r="E78" s="49" t="s">
        <v>385</v>
      </c>
      <c r="F78" s="50">
        <v>0.68600000000000005</v>
      </c>
      <c r="G78" s="50" t="s">
        <v>386</v>
      </c>
      <c r="H78" s="50"/>
      <c r="I78" s="50"/>
    </row>
    <row r="79" spans="1:18" x14ac:dyDescent="0.25">
      <c r="A79" s="2" t="s">
        <v>78</v>
      </c>
      <c r="B79" s="14">
        <v>1</v>
      </c>
      <c r="C79" s="37"/>
      <c r="D79" s="50" t="s">
        <v>387</v>
      </c>
      <c r="E79" s="50" t="s">
        <v>388</v>
      </c>
      <c r="F79" s="50"/>
      <c r="G79" s="50"/>
      <c r="H79" s="50"/>
      <c r="I79" s="50"/>
    </row>
    <row r="80" spans="1:18" x14ac:dyDescent="0.25">
      <c r="A80" s="2" t="s">
        <v>79</v>
      </c>
      <c r="B80" s="14">
        <v>1.01</v>
      </c>
      <c r="C80" s="37"/>
      <c r="D80" s="50" t="s">
        <v>389</v>
      </c>
      <c r="E80" s="50"/>
      <c r="F80" s="50"/>
      <c r="G80" s="50"/>
      <c r="H80" s="50"/>
      <c r="I80" s="50"/>
    </row>
    <row r="81" spans="1:18" x14ac:dyDescent="0.25">
      <c r="A81" s="2" t="s">
        <v>80</v>
      </c>
      <c r="B81" s="14">
        <v>1.01</v>
      </c>
      <c r="C81" s="37"/>
      <c r="D81" s="86">
        <v>1.0068600000000001</v>
      </c>
      <c r="E81" s="50"/>
      <c r="F81" s="50"/>
      <c r="G81" s="50"/>
      <c r="H81" s="50"/>
      <c r="I81" s="50"/>
    </row>
    <row r="82" spans="1:18" x14ac:dyDescent="0.25">
      <c r="A82" s="2" t="s">
        <v>81</v>
      </c>
      <c r="B82" s="14">
        <v>1</v>
      </c>
      <c r="C82" s="37"/>
    </row>
    <row r="83" spans="1:18" x14ac:dyDescent="0.25">
      <c r="A83" s="2" t="s">
        <v>82</v>
      </c>
      <c r="B83" s="14">
        <v>1</v>
      </c>
      <c r="C83" s="37"/>
    </row>
    <row r="84" spans="1:18" x14ac:dyDescent="0.25">
      <c r="A84" s="2" t="s">
        <v>83</v>
      </c>
      <c r="B84" s="14">
        <v>1</v>
      </c>
      <c r="C84" s="37"/>
    </row>
    <row r="85" spans="1:18" x14ac:dyDescent="0.25">
      <c r="A85" s="2" t="s">
        <v>84</v>
      </c>
      <c r="B85" s="24">
        <v>0.4</v>
      </c>
      <c r="C85" s="38"/>
    </row>
    <row r="86" spans="1:18" x14ac:dyDescent="0.25">
      <c r="A86" s="2"/>
      <c r="B86" s="40"/>
      <c r="C86" s="38"/>
      <c r="D86" s="43" t="s">
        <v>213</v>
      </c>
    </row>
    <row r="87" spans="1:18" ht="16.5" x14ac:dyDescent="0.25">
      <c r="A87" s="2" t="s">
        <v>85</v>
      </c>
      <c r="B87" s="14">
        <f>N88</f>
        <v>530000000</v>
      </c>
      <c r="C87" s="37"/>
      <c r="D87" s="49" t="s">
        <v>222</v>
      </c>
      <c r="E87" s="49" t="s">
        <v>223</v>
      </c>
      <c r="F87" s="49" t="s">
        <v>224</v>
      </c>
      <c r="G87" s="49" t="s">
        <v>225</v>
      </c>
      <c r="H87" s="49" t="s">
        <v>226</v>
      </c>
      <c r="I87" s="49" t="s">
        <v>227</v>
      </c>
      <c r="J87" s="49" t="s">
        <v>228</v>
      </c>
      <c r="K87" s="49" t="s">
        <v>229</v>
      </c>
      <c r="L87" s="49" t="s">
        <v>230</v>
      </c>
      <c r="M87" s="49" t="s">
        <v>231</v>
      </c>
      <c r="N87" s="49" t="s">
        <v>232</v>
      </c>
      <c r="O87" s="49" t="s">
        <v>233</v>
      </c>
      <c r="P87" s="49" t="s">
        <v>234</v>
      </c>
      <c r="R87" s="121" t="s">
        <v>400</v>
      </c>
    </row>
    <row r="88" spans="1:18" x14ac:dyDescent="0.25">
      <c r="A88" s="2" t="s">
        <v>86</v>
      </c>
      <c r="B88" s="14">
        <f>M90</f>
        <v>3212.3</v>
      </c>
      <c r="C88" s="37"/>
      <c r="D88" s="50">
        <v>1</v>
      </c>
      <c r="E88" s="49" t="s">
        <v>380</v>
      </c>
      <c r="F88" s="49" t="s">
        <v>366</v>
      </c>
      <c r="G88" s="50" t="s">
        <v>379</v>
      </c>
      <c r="H88" s="49" t="s">
        <v>237</v>
      </c>
      <c r="I88" s="49" t="s">
        <v>344</v>
      </c>
      <c r="J88" s="49" t="s">
        <v>345</v>
      </c>
      <c r="K88" s="51">
        <v>45792</v>
      </c>
      <c r="L88" s="83">
        <v>3212.3</v>
      </c>
      <c r="M88" s="94">
        <v>3212.3</v>
      </c>
      <c r="N88" s="59">
        <v>530000000</v>
      </c>
      <c r="O88" s="52">
        <v>164990</v>
      </c>
      <c r="P88" s="50"/>
      <c r="R88" s="122">
        <v>1350000</v>
      </c>
    </row>
    <row r="89" spans="1:18" ht="16.5" x14ac:dyDescent="0.25">
      <c r="A89" s="110" t="s">
        <v>394</v>
      </c>
      <c r="B89" s="14">
        <f>R88*M88</f>
        <v>4336605000</v>
      </c>
      <c r="C89" s="37"/>
      <c r="D89" s="49" t="s">
        <v>222</v>
      </c>
      <c r="E89" s="49" t="s">
        <v>223</v>
      </c>
      <c r="F89" s="49" t="s">
        <v>224</v>
      </c>
      <c r="G89" s="49" t="s">
        <v>225</v>
      </c>
      <c r="H89" s="49" t="s">
        <v>226</v>
      </c>
      <c r="I89" s="49" t="s">
        <v>227</v>
      </c>
      <c r="J89" s="49" t="s">
        <v>228</v>
      </c>
      <c r="K89" s="49" t="s">
        <v>229</v>
      </c>
      <c r="L89" s="49" t="s">
        <v>230</v>
      </c>
      <c r="M89" s="49" t="s">
        <v>231</v>
      </c>
      <c r="N89" s="49" t="s">
        <v>232</v>
      </c>
      <c r="O89" s="49" t="s">
        <v>233</v>
      </c>
      <c r="P89" s="49" t="s">
        <v>234</v>
      </c>
    </row>
    <row r="90" spans="1:18" ht="16.5" x14ac:dyDescent="0.25">
      <c r="A90" s="60" t="s">
        <v>395</v>
      </c>
      <c r="B90" s="24">
        <v>0.2</v>
      </c>
      <c r="C90" s="37"/>
      <c r="D90" s="50">
        <v>1</v>
      </c>
      <c r="E90" s="49" t="s">
        <v>380</v>
      </c>
      <c r="F90" s="49" t="s">
        <v>366</v>
      </c>
      <c r="G90" s="50" t="s">
        <v>379</v>
      </c>
      <c r="H90" s="49" t="s">
        <v>237</v>
      </c>
      <c r="I90" s="49" t="s">
        <v>344</v>
      </c>
      <c r="J90" s="49" t="s">
        <v>345</v>
      </c>
      <c r="K90" s="51">
        <v>45792</v>
      </c>
      <c r="L90" s="83">
        <v>3212.3</v>
      </c>
      <c r="M90" s="83">
        <v>3212.3</v>
      </c>
      <c r="N90" s="59">
        <v>530000000</v>
      </c>
      <c r="O90" s="52">
        <v>164990</v>
      </c>
      <c r="P90" s="50"/>
    </row>
    <row r="91" spans="1:18" x14ac:dyDescent="0.25">
      <c r="A91" s="2" t="s">
        <v>87</v>
      </c>
      <c r="B91" s="24">
        <v>1</v>
      </c>
      <c r="C91" s="38"/>
    </row>
    <row r="92" spans="1:18" x14ac:dyDescent="0.25">
      <c r="A92" s="2" t="s">
        <v>88</v>
      </c>
      <c r="B92" s="57">
        <f>D96</f>
        <v>1.0068600000000001</v>
      </c>
      <c r="C92" s="37"/>
      <c r="D92" s="49" t="s">
        <v>384</v>
      </c>
      <c r="E92" s="50"/>
      <c r="F92" s="50"/>
      <c r="G92" s="50"/>
      <c r="H92" s="50"/>
      <c r="I92" s="50"/>
    </row>
    <row r="93" spans="1:18" x14ac:dyDescent="0.25">
      <c r="A93" s="2" t="s">
        <v>89</v>
      </c>
      <c r="B93" s="24">
        <v>0.98</v>
      </c>
      <c r="C93" s="38"/>
      <c r="D93" s="50"/>
      <c r="E93" s="49" t="s">
        <v>385</v>
      </c>
      <c r="F93" s="50">
        <v>0.68600000000000005</v>
      </c>
      <c r="G93" s="50" t="s">
        <v>386</v>
      </c>
      <c r="H93" s="50"/>
      <c r="I93" s="50"/>
    </row>
    <row r="94" spans="1:18" x14ac:dyDescent="0.25">
      <c r="A94" s="2" t="s">
        <v>90</v>
      </c>
      <c r="B94" s="14">
        <v>1.01</v>
      </c>
      <c r="C94" s="37"/>
      <c r="D94" s="50" t="s">
        <v>387</v>
      </c>
      <c r="E94" s="50" t="s">
        <v>388</v>
      </c>
      <c r="F94" s="50"/>
      <c r="G94" s="50"/>
      <c r="H94" s="50"/>
      <c r="I94" s="50"/>
    </row>
    <row r="95" spans="1:18" x14ac:dyDescent="0.25">
      <c r="A95" s="2" t="s">
        <v>91</v>
      </c>
      <c r="B95" s="14">
        <v>1</v>
      </c>
      <c r="C95" s="37"/>
      <c r="D95" s="50" t="s">
        <v>389</v>
      </c>
      <c r="E95" s="50"/>
      <c r="F95" s="50"/>
      <c r="G95" s="50"/>
      <c r="H95" s="50"/>
      <c r="I95" s="50"/>
    </row>
    <row r="96" spans="1:18" x14ac:dyDescent="0.25">
      <c r="A96" s="2" t="s">
        <v>92</v>
      </c>
      <c r="B96" s="14">
        <v>1</v>
      </c>
      <c r="C96" s="37"/>
      <c r="D96" s="86">
        <v>1.0068600000000001</v>
      </c>
      <c r="E96" s="50"/>
      <c r="F96" s="50"/>
      <c r="G96" s="50"/>
      <c r="H96" s="50"/>
      <c r="I96" s="50"/>
    </row>
    <row r="97" spans="1:7" x14ac:dyDescent="0.25">
      <c r="A97" s="2" t="s">
        <v>93</v>
      </c>
      <c r="B97" s="14">
        <v>1</v>
      </c>
      <c r="C97" s="37"/>
    </row>
    <row r="98" spans="1:7" x14ac:dyDescent="0.25">
      <c r="A98" s="2" t="s">
        <v>94</v>
      </c>
      <c r="B98" s="14">
        <v>1</v>
      </c>
      <c r="C98" s="37"/>
    </row>
    <row r="99" spans="1:7" x14ac:dyDescent="0.25">
      <c r="A99" s="2" t="s">
        <v>95</v>
      </c>
      <c r="B99" s="14">
        <v>1</v>
      </c>
      <c r="C99" s="37"/>
    </row>
    <row r="100" spans="1:7" x14ac:dyDescent="0.25">
      <c r="A100" s="2" t="s">
        <v>96</v>
      </c>
      <c r="B100" s="24">
        <v>0.25</v>
      </c>
      <c r="C100" s="38"/>
    </row>
    <row r="102" spans="1:7" x14ac:dyDescent="0.25">
      <c r="A102" s="124" t="s">
        <v>97</v>
      </c>
      <c r="B102" s="125"/>
      <c r="C102" s="125"/>
      <c r="D102" s="125"/>
      <c r="E102" s="125"/>
      <c r="F102" s="125"/>
      <c r="G102" s="126"/>
    </row>
    <row r="103" spans="1:7" x14ac:dyDescent="0.25">
      <c r="A103" s="124" t="s">
        <v>98</v>
      </c>
      <c r="B103" s="125"/>
      <c r="C103" s="125"/>
      <c r="D103" s="125"/>
      <c r="E103" s="125"/>
      <c r="F103" s="125"/>
      <c r="G103" s="126"/>
    </row>
  </sheetData>
  <mergeCells count="7">
    <mergeCell ref="A102:G102"/>
    <mergeCell ref="A103:G103"/>
    <mergeCell ref="A1:G1"/>
    <mergeCell ref="E3:G3"/>
    <mergeCell ref="A18:B18"/>
    <mergeCell ref="A30:G30"/>
    <mergeCell ref="A3:B3"/>
  </mergeCells>
  <phoneticPr fontId="14" type="noConversion"/>
  <dataValidations disablePrompts="1" count="1">
    <dataValidation type="whole" sqref="B14:C14" xr:uid="{00000000-0002-0000-0100-000000000000}">
      <formula1>1</formula1>
      <formula2>3</formula2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61"/>
  <sheetViews>
    <sheetView showGridLines="0" tabSelected="1" workbookViewId="0">
      <selection activeCell="A6" sqref="A6:N6"/>
    </sheetView>
  </sheetViews>
  <sheetFormatPr defaultRowHeight="15" x14ac:dyDescent="0.25"/>
  <cols>
    <col min="1" max="1" width="24.140625" customWidth="1"/>
    <col min="2" max="2" width="20.5703125" customWidth="1"/>
    <col min="3" max="3" width="19.28515625" customWidth="1"/>
    <col min="4" max="4" width="20.5703125" customWidth="1"/>
    <col min="5" max="5" width="19.140625" customWidth="1"/>
    <col min="6" max="7" width="10" customWidth="1"/>
    <col min="8" max="8" width="12.85546875" customWidth="1"/>
    <col min="9" max="10" width="10" customWidth="1"/>
    <col min="11" max="11" width="17.7109375" customWidth="1"/>
    <col min="12" max="12" width="11" customWidth="1"/>
    <col min="13" max="13" width="14" customWidth="1"/>
    <col min="14" max="14" width="19" customWidth="1"/>
    <col min="15" max="15" width="14" customWidth="1"/>
    <col min="16" max="16" width="12" customWidth="1"/>
    <col min="17" max="17" width="14" customWidth="1"/>
    <col min="18" max="18" width="15.7109375" customWidth="1"/>
  </cols>
  <sheetData>
    <row r="1" spans="1:18" ht="21.95" customHeight="1" x14ac:dyDescent="0.25">
      <c r="A1" s="131" t="s">
        <v>116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6"/>
    </row>
    <row r="2" spans="1:18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spans="1:18" x14ac:dyDescent="0.25">
      <c r="A3" s="144" t="s">
        <v>117</v>
      </c>
      <c r="B3" s="125"/>
      <c r="C3" s="126"/>
      <c r="D3" s="156"/>
      <c r="E3" s="157"/>
      <c r="F3" s="158"/>
      <c r="G3" s="15"/>
      <c r="H3" s="15"/>
      <c r="I3" s="15"/>
      <c r="J3" s="15"/>
      <c r="K3" s="15"/>
      <c r="L3" s="15"/>
      <c r="M3" s="15"/>
      <c r="N3" s="15"/>
      <c r="O3" s="41" t="s">
        <v>216</v>
      </c>
    </row>
    <row r="4" spans="1:18" x14ac:dyDescent="0.25">
      <c r="A4" s="13" t="s">
        <v>4</v>
      </c>
      <c r="B4" s="85">
        <f>입력값!B4</f>
        <v>2931.5</v>
      </c>
      <c r="C4" s="15"/>
      <c r="D4" s="13" t="s">
        <v>8</v>
      </c>
      <c r="E4" s="14">
        <f>입력값!B5</f>
        <v>0</v>
      </c>
      <c r="F4" s="15"/>
      <c r="G4" s="15"/>
      <c r="H4" s="15"/>
      <c r="I4" s="15"/>
      <c r="J4" s="15"/>
      <c r="K4" s="15"/>
      <c r="L4" s="15"/>
      <c r="M4" s="15"/>
      <c r="N4" s="15"/>
      <c r="O4" s="41" t="s">
        <v>217</v>
      </c>
    </row>
    <row r="5" spans="1:18" x14ac:dyDescent="0.25">
      <c r="A5" s="15"/>
      <c r="B5" s="19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41" t="s">
        <v>218</v>
      </c>
    </row>
    <row r="6" spans="1:18" ht="21.95" customHeight="1" x14ac:dyDescent="0.25">
      <c r="A6" s="134" t="s">
        <v>118</v>
      </c>
      <c r="B6" s="135"/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6"/>
      <c r="O6" s="41" t="s">
        <v>219</v>
      </c>
    </row>
    <row r="7" spans="1:18" ht="36" customHeight="1" x14ac:dyDescent="0.25">
      <c r="A7" s="97" t="s">
        <v>119</v>
      </c>
      <c r="B7" s="97" t="s">
        <v>120</v>
      </c>
      <c r="C7" s="97" t="s">
        <v>121</v>
      </c>
      <c r="D7" s="97" t="s">
        <v>122</v>
      </c>
      <c r="E7" s="97" t="s">
        <v>123</v>
      </c>
      <c r="F7" s="97" t="s">
        <v>124</v>
      </c>
      <c r="G7" s="97" t="s">
        <v>125</v>
      </c>
      <c r="H7" s="97" t="s">
        <v>126</v>
      </c>
      <c r="I7" s="97" t="s">
        <v>127</v>
      </c>
      <c r="J7" s="97" t="s">
        <v>128</v>
      </c>
      <c r="K7" s="97" t="s">
        <v>129</v>
      </c>
      <c r="L7" s="97" t="s">
        <v>130</v>
      </c>
      <c r="M7" s="97" t="s">
        <v>131</v>
      </c>
      <c r="N7" s="97" t="s">
        <v>132</v>
      </c>
      <c r="O7" s="41" t="s">
        <v>220</v>
      </c>
    </row>
    <row r="8" spans="1:18" ht="27.95" customHeight="1" x14ac:dyDescent="0.25">
      <c r="A8" s="98">
        <f>입력값!B32</f>
        <v>61900</v>
      </c>
      <c r="B8" s="101">
        <f>입력값!B33</f>
        <v>1.0068600000000001</v>
      </c>
      <c r="C8" s="100">
        <f>입력값!B34</f>
        <v>1</v>
      </c>
      <c r="D8" s="100">
        <f>입력값!B35</f>
        <v>1</v>
      </c>
      <c r="E8" s="100">
        <f>입력값!B36</f>
        <v>1</v>
      </c>
      <c r="F8" s="100">
        <f>입력값!B37</f>
        <v>1.01</v>
      </c>
      <c r="G8" s="100">
        <f>입력값!B38</f>
        <v>1</v>
      </c>
      <c r="H8" s="100">
        <f>입력값!B39</f>
        <v>1</v>
      </c>
      <c r="I8" s="100">
        <f>입력값!B40</f>
        <v>1.01</v>
      </c>
      <c r="J8" s="102">
        <f>PRODUCT(D8:I8)</f>
        <v>1.0201</v>
      </c>
      <c r="K8" s="102">
        <f>R12</f>
        <v>2.4876275781984378</v>
      </c>
      <c r="L8" s="99">
        <f>A8*B8*C8*J8*K8</f>
        <v>158156.79195414847</v>
      </c>
      <c r="M8" s="99">
        <f>$B$4*L8</f>
        <v>463636635.61358625</v>
      </c>
      <c r="N8" s="108"/>
      <c r="O8" s="41" t="s">
        <v>221</v>
      </c>
    </row>
    <row r="9" spans="1:18" x14ac:dyDescent="0.25">
      <c r="A9" s="103"/>
      <c r="B9" s="104"/>
      <c r="C9" s="47"/>
      <c r="D9" s="105"/>
      <c r="E9" s="106"/>
      <c r="F9" s="106"/>
      <c r="G9" s="107"/>
      <c r="H9" s="104"/>
      <c r="I9" s="104"/>
      <c r="J9" s="104"/>
      <c r="K9" s="104"/>
      <c r="L9" s="107"/>
      <c r="M9" s="104"/>
      <c r="N9" s="107"/>
    </row>
    <row r="10" spans="1:18" ht="21.95" customHeight="1" x14ac:dyDescent="0.25">
      <c r="A10" s="134" t="s">
        <v>133</v>
      </c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6"/>
    </row>
    <row r="11" spans="1:18" ht="36" customHeight="1" x14ac:dyDescent="0.25">
      <c r="A11" s="97" t="s">
        <v>134</v>
      </c>
      <c r="B11" s="97" t="s">
        <v>135</v>
      </c>
      <c r="C11" s="97" t="s">
        <v>136</v>
      </c>
      <c r="D11" s="97" t="s">
        <v>137</v>
      </c>
      <c r="E11" s="97" t="s">
        <v>138</v>
      </c>
      <c r="F11" s="97" t="s">
        <v>120</v>
      </c>
      <c r="G11" s="97" t="s">
        <v>139</v>
      </c>
      <c r="H11" s="97" t="s">
        <v>140</v>
      </c>
      <c r="I11" s="97" t="s">
        <v>141</v>
      </c>
      <c r="J11" s="97" t="s">
        <v>142</v>
      </c>
      <c r="K11" s="97" t="s">
        <v>143</v>
      </c>
      <c r="L11" s="97" t="s">
        <v>144</v>
      </c>
      <c r="M11" s="97" t="s">
        <v>145</v>
      </c>
      <c r="N11" s="97" t="s">
        <v>146</v>
      </c>
      <c r="O11" s="97" t="s">
        <v>147</v>
      </c>
      <c r="P11" s="97" t="s">
        <v>148</v>
      </c>
      <c r="Q11" s="97" t="s">
        <v>149</v>
      </c>
      <c r="R11" s="97" t="s">
        <v>129</v>
      </c>
    </row>
    <row r="12" spans="1:18" ht="27.95" customHeight="1" x14ac:dyDescent="0.25">
      <c r="A12" s="98">
        <f>입력값!B42</f>
        <v>458715000</v>
      </c>
      <c r="B12" s="99">
        <f>MIN(입력값!B44*(1-입력값!B45)*$E$4,A12)</f>
        <v>0</v>
      </c>
      <c r="C12" s="99">
        <f>MAX(A12-B12,0)</f>
        <v>458715000</v>
      </c>
      <c r="D12" s="98">
        <f>입력값!B43</f>
        <v>2861.3</v>
      </c>
      <c r="E12" s="99">
        <f>IFERROR(C12/D12,0)</f>
        <v>160316.98878132316</v>
      </c>
      <c r="F12" s="101">
        <f>입력값!B46</f>
        <v>1.0068600000000001</v>
      </c>
      <c r="G12" s="100">
        <f>입력값!B47</f>
        <v>1</v>
      </c>
      <c r="H12" s="100">
        <f>입력값!B48</f>
        <v>1</v>
      </c>
      <c r="I12" s="100">
        <f>입력값!B49</f>
        <v>0.99</v>
      </c>
      <c r="J12" s="100">
        <f>입력값!B50</f>
        <v>0.99</v>
      </c>
      <c r="K12" s="100">
        <f>입력값!B51</f>
        <v>0.98</v>
      </c>
      <c r="L12" s="100">
        <f>입력값!B52</f>
        <v>1</v>
      </c>
      <c r="M12" s="100">
        <f>입력값!B53</f>
        <v>1</v>
      </c>
      <c r="N12" s="102">
        <f>PRODUCT(H12:M12)</f>
        <v>0.96049799999999996</v>
      </c>
      <c r="O12" s="99">
        <f>E12*F12*G12*N12</f>
        <v>155040.47833952404</v>
      </c>
      <c r="P12" s="99">
        <f>A8*B8</f>
        <v>62324.634000000005</v>
      </c>
      <c r="Q12" s="102">
        <f>IFERROR(O12/P12,0)</f>
        <v>2.4876275781984378</v>
      </c>
      <c r="R12" s="102">
        <f>Q12</f>
        <v>2.4876275781984378</v>
      </c>
    </row>
    <row r="13" spans="1:18" ht="16.5" x14ac:dyDescent="0.25">
      <c r="A13" s="97" t="s">
        <v>150</v>
      </c>
      <c r="B13" s="132" t="s">
        <v>151</v>
      </c>
      <c r="C13" s="133"/>
      <c r="D13" s="133"/>
      <c r="E13" s="133"/>
      <c r="F13" s="133"/>
      <c r="G13" s="133"/>
      <c r="H13" s="133"/>
      <c r="I13" s="133"/>
      <c r="J13" s="132" t="s">
        <v>152</v>
      </c>
      <c r="K13" s="133"/>
      <c r="L13" s="133"/>
      <c r="M13" s="133"/>
      <c r="N13" s="133"/>
      <c r="O13" s="140" t="s">
        <v>328</v>
      </c>
      <c r="P13" s="133"/>
      <c r="Q13" s="133"/>
      <c r="R13" s="133"/>
    </row>
    <row r="14" spans="1:18" x14ac:dyDescent="0.25">
      <c r="A14" s="87"/>
      <c r="B14" s="88"/>
      <c r="C14" s="28"/>
      <c r="D14" s="28"/>
      <c r="E14" s="28"/>
      <c r="F14" s="28"/>
      <c r="G14" s="28"/>
      <c r="H14" s="28"/>
      <c r="I14" s="28"/>
      <c r="J14" s="88"/>
      <c r="K14" s="28"/>
      <c r="L14" s="28"/>
      <c r="M14" s="28"/>
      <c r="N14" s="28"/>
      <c r="O14" s="89"/>
      <c r="P14" s="28"/>
      <c r="Q14" s="28"/>
      <c r="R14" s="28"/>
    </row>
    <row r="15" spans="1:18" x14ac:dyDescent="0.25">
      <c r="A15" s="87"/>
      <c r="B15" s="88"/>
      <c r="C15" s="28"/>
      <c r="D15" s="28"/>
      <c r="E15" s="28"/>
      <c r="F15" s="28"/>
      <c r="G15" s="28"/>
      <c r="H15" s="28"/>
      <c r="I15" s="28"/>
      <c r="J15" s="88"/>
      <c r="K15" s="28"/>
      <c r="L15" s="28"/>
      <c r="M15" s="28"/>
      <c r="N15" s="28"/>
      <c r="O15" s="89"/>
      <c r="P15" s="28"/>
      <c r="Q15" s="28"/>
      <c r="R15" s="28"/>
    </row>
    <row r="16" spans="1:18" x14ac:dyDescent="0.25">
      <c r="A16" s="15"/>
      <c r="B16" s="19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1:17" ht="21.95" customHeight="1" x14ac:dyDescent="0.25">
      <c r="A17" s="134" t="s">
        <v>153</v>
      </c>
      <c r="B17" s="135"/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135"/>
      <c r="N17" s="135"/>
      <c r="O17" s="135"/>
      <c r="P17" s="135"/>
      <c r="Q17" s="136"/>
    </row>
    <row r="18" spans="1:17" ht="36" customHeight="1" x14ac:dyDescent="0.25">
      <c r="A18" s="97" t="s">
        <v>102</v>
      </c>
      <c r="B18" s="97" t="s">
        <v>154</v>
      </c>
      <c r="C18" s="97" t="s">
        <v>137</v>
      </c>
      <c r="D18" s="97" t="s">
        <v>155</v>
      </c>
      <c r="E18" s="97" t="s">
        <v>156</v>
      </c>
      <c r="F18" s="97" t="s">
        <v>120</v>
      </c>
      <c r="G18" s="97" t="s">
        <v>139</v>
      </c>
      <c r="H18" s="97" t="s">
        <v>140</v>
      </c>
      <c r="I18" s="97" t="s">
        <v>141</v>
      </c>
      <c r="J18" s="97" t="s">
        <v>142</v>
      </c>
      <c r="K18" s="97" t="s">
        <v>143</v>
      </c>
      <c r="L18" s="97" t="s">
        <v>144</v>
      </c>
      <c r="M18" s="97" t="s">
        <v>145</v>
      </c>
      <c r="N18" s="97" t="s">
        <v>128</v>
      </c>
      <c r="O18" s="97" t="s">
        <v>157</v>
      </c>
      <c r="P18" s="97" t="s">
        <v>109</v>
      </c>
      <c r="Q18" s="97" t="s">
        <v>158</v>
      </c>
    </row>
    <row r="19" spans="1:17" ht="27.95" customHeight="1" x14ac:dyDescent="0.25">
      <c r="A19" s="146" t="s">
        <v>111</v>
      </c>
      <c r="B19" s="98">
        <f>입력값!B57</f>
        <v>5000000000</v>
      </c>
      <c r="C19" s="98">
        <f>입력값!B58</f>
        <v>331</v>
      </c>
      <c r="D19" s="99">
        <f>IFERROR(C21/C19,0)</f>
        <v>14764683.685800605</v>
      </c>
      <c r="E19" s="100">
        <f>입력값!B61</f>
        <v>1</v>
      </c>
      <c r="F19" s="101">
        <f>입력값!B62</f>
        <v>1.0068600000000001</v>
      </c>
      <c r="G19" s="100">
        <f>입력값!B63</f>
        <v>1.01</v>
      </c>
      <c r="H19" s="100">
        <f>입력값!B64</f>
        <v>1</v>
      </c>
      <c r="I19" s="100">
        <f>입력값!B65</f>
        <v>1</v>
      </c>
      <c r="J19" s="100">
        <f>입력값!B66</f>
        <v>0.99</v>
      </c>
      <c r="K19" s="100">
        <f>입력값!B67</f>
        <v>1</v>
      </c>
      <c r="L19" s="100">
        <f>입력값!B68</f>
        <v>1</v>
      </c>
      <c r="M19" s="100">
        <f>입력값!B69</f>
        <v>1</v>
      </c>
      <c r="N19" s="102">
        <f>PRODUCT(H19:M19)</f>
        <v>0.99</v>
      </c>
      <c r="O19" s="99">
        <f>D19*E19*F19*G19*N19</f>
        <v>14864482.81894361</v>
      </c>
      <c r="P19" s="100">
        <f>입력값!B70</f>
        <v>0.35</v>
      </c>
      <c r="Q19" s="99">
        <f>O19*P19</f>
        <v>5202568.9866302637</v>
      </c>
    </row>
    <row r="20" spans="1:17" ht="27.95" customHeight="1" x14ac:dyDescent="0.25">
      <c r="A20" s="147"/>
      <c r="B20" s="97" t="s">
        <v>135</v>
      </c>
      <c r="C20" s="97" t="s">
        <v>136</v>
      </c>
      <c r="D20" s="99"/>
      <c r="E20" s="100"/>
      <c r="F20" s="101"/>
      <c r="G20" s="100"/>
      <c r="H20" s="100"/>
      <c r="I20" s="100"/>
      <c r="J20" s="100"/>
      <c r="K20" s="100"/>
      <c r="L20" s="100"/>
      <c r="M20" s="100"/>
      <c r="N20" s="102"/>
      <c r="O20" s="99"/>
      <c r="P20" s="100"/>
      <c r="Q20" s="99"/>
    </row>
    <row r="21" spans="1:17" ht="27.95" customHeight="1" x14ac:dyDescent="0.25">
      <c r="A21" s="148"/>
      <c r="B21" s="98">
        <f>MIN(입력값!B59*(1-입력값!B60),B19)</f>
        <v>112889699.99999997</v>
      </c>
      <c r="C21" s="98">
        <f>MAX(B19-B21,0)</f>
        <v>4887110300</v>
      </c>
      <c r="D21" s="99"/>
      <c r="E21" s="100"/>
      <c r="F21" s="101"/>
      <c r="G21" s="100"/>
      <c r="H21" s="100"/>
      <c r="I21" s="100"/>
      <c r="J21" s="100"/>
      <c r="K21" s="100"/>
      <c r="L21" s="100"/>
      <c r="M21" s="100"/>
      <c r="N21" s="102"/>
      <c r="O21" s="99"/>
      <c r="P21" s="100"/>
      <c r="Q21" s="99"/>
    </row>
    <row r="22" spans="1:17" ht="27.95" customHeight="1" x14ac:dyDescent="0.25">
      <c r="A22" s="111"/>
      <c r="B22" s="112"/>
      <c r="C22" s="112"/>
      <c r="D22" s="113"/>
      <c r="E22" s="114"/>
      <c r="F22" s="115"/>
      <c r="G22" s="114"/>
      <c r="H22" s="114"/>
      <c r="I22" s="114"/>
      <c r="J22" s="114"/>
      <c r="K22" s="114"/>
      <c r="L22" s="114"/>
      <c r="M22" s="114"/>
      <c r="N22" s="116"/>
      <c r="O22" s="113"/>
      <c r="P22" s="114"/>
      <c r="Q22" s="117"/>
    </row>
    <row r="23" spans="1:17" ht="27.95" customHeight="1" x14ac:dyDescent="0.25">
      <c r="A23" s="146" t="s">
        <v>112</v>
      </c>
      <c r="B23" s="98">
        <f>입력값!B72</f>
        <v>458715000</v>
      </c>
      <c r="C23" s="98">
        <f>입력값!B73</f>
        <v>2861.3</v>
      </c>
      <c r="D23" s="99">
        <f>IFERROR(B23/C23,0)</f>
        <v>160316.98878132316</v>
      </c>
      <c r="E23" s="100">
        <f>입력값!B76</f>
        <v>1</v>
      </c>
      <c r="F23" s="101">
        <f>입력값!B77</f>
        <v>1.0068600000000001</v>
      </c>
      <c r="G23" s="100">
        <f>입력값!B78</f>
        <v>1</v>
      </c>
      <c r="H23" s="100">
        <f>입력값!B79</f>
        <v>1</v>
      </c>
      <c r="I23" s="100">
        <f>입력값!B80</f>
        <v>1.01</v>
      </c>
      <c r="J23" s="100">
        <f>입력값!B81</f>
        <v>1.01</v>
      </c>
      <c r="K23" s="100">
        <f>입력값!B82</f>
        <v>1</v>
      </c>
      <c r="L23" s="100">
        <f>입력값!B83</f>
        <v>1</v>
      </c>
      <c r="M23" s="100">
        <f>입력값!B84</f>
        <v>1</v>
      </c>
      <c r="N23" s="102">
        <f>PRODUCT(H23:M23)</f>
        <v>1.0201</v>
      </c>
      <c r="O23" s="99">
        <f>D23*E23*F23*G23*N23</f>
        <v>164661.24026718273</v>
      </c>
      <c r="P23" s="100">
        <f>입력값!B85</f>
        <v>0.4</v>
      </c>
      <c r="Q23" s="99">
        <f>O23*P23</f>
        <v>65864.496106873092</v>
      </c>
    </row>
    <row r="24" spans="1:17" ht="27.95" customHeight="1" x14ac:dyDescent="0.25">
      <c r="A24" s="147"/>
      <c r="B24" s="97" t="s">
        <v>135</v>
      </c>
      <c r="C24" s="97" t="s">
        <v>136</v>
      </c>
      <c r="D24" s="99"/>
      <c r="E24" s="100"/>
      <c r="F24" s="101"/>
      <c r="G24" s="100"/>
      <c r="H24" s="100"/>
      <c r="I24" s="100"/>
      <c r="J24" s="100"/>
      <c r="K24" s="100"/>
      <c r="L24" s="100"/>
      <c r="M24" s="100"/>
      <c r="N24" s="102"/>
      <c r="O24" s="99"/>
      <c r="P24" s="100"/>
      <c r="Q24" s="99"/>
    </row>
    <row r="25" spans="1:17" ht="27.95" customHeight="1" x14ac:dyDescent="0.25">
      <c r="A25" s="148"/>
      <c r="B25" s="98">
        <f>MIN(입력값!B74*(1-입력값!B75),B23)</f>
        <v>458715000</v>
      </c>
      <c r="C25" s="98">
        <f>MAX(B23-B25,0)</f>
        <v>0</v>
      </c>
      <c r="D25" s="99"/>
      <c r="E25" s="100"/>
      <c r="F25" s="101"/>
      <c r="G25" s="100"/>
      <c r="H25" s="100"/>
      <c r="I25" s="100"/>
      <c r="J25" s="100"/>
      <c r="K25" s="100"/>
      <c r="L25" s="100"/>
      <c r="M25" s="100"/>
      <c r="N25" s="102"/>
      <c r="O25" s="99"/>
      <c r="P25" s="100"/>
      <c r="Q25" s="99"/>
    </row>
    <row r="26" spans="1:17" ht="27.95" customHeight="1" x14ac:dyDescent="0.25">
      <c r="A26" s="111"/>
      <c r="B26" s="112"/>
      <c r="C26" s="112"/>
      <c r="D26" s="113"/>
      <c r="E26" s="114"/>
      <c r="F26" s="115"/>
      <c r="G26" s="114"/>
      <c r="H26" s="114"/>
      <c r="I26" s="114"/>
      <c r="J26" s="114"/>
      <c r="K26" s="114"/>
      <c r="L26" s="114"/>
      <c r="M26" s="114"/>
      <c r="N26" s="116"/>
      <c r="O26" s="113"/>
      <c r="P26" s="114"/>
      <c r="Q26" s="117"/>
    </row>
    <row r="27" spans="1:17" ht="27.95" customHeight="1" x14ac:dyDescent="0.25">
      <c r="A27" s="146" t="s">
        <v>113</v>
      </c>
      <c r="B27" s="98">
        <f>입력값!B87</f>
        <v>530000000</v>
      </c>
      <c r="C27" s="98">
        <f>입력값!B88</f>
        <v>3212.3</v>
      </c>
      <c r="D27" s="99">
        <f>IFERROR(B27/C27,0)</f>
        <v>164990.8165488902</v>
      </c>
      <c r="E27" s="100">
        <f>입력값!B91</f>
        <v>1</v>
      </c>
      <c r="F27" s="101">
        <f>입력값!B92</f>
        <v>1.0068600000000001</v>
      </c>
      <c r="G27" s="100">
        <f>입력값!B93</f>
        <v>0.98</v>
      </c>
      <c r="H27" s="100">
        <f>입력값!B94</f>
        <v>1.01</v>
      </c>
      <c r="I27" s="100">
        <f>입력값!B95</f>
        <v>1</v>
      </c>
      <c r="J27" s="100">
        <f>입력값!B96</f>
        <v>1</v>
      </c>
      <c r="K27" s="100">
        <f>입력값!B97</f>
        <v>1</v>
      </c>
      <c r="L27" s="100">
        <f>입력값!B98</f>
        <v>1</v>
      </c>
      <c r="M27" s="100">
        <f>입력값!B99</f>
        <v>1</v>
      </c>
      <c r="N27" s="102">
        <f>PRODUCT(H27:M27)</f>
        <v>1.01</v>
      </c>
      <c r="O27" s="99">
        <f>D27*E27*F27*G27*N27</f>
        <v>164428.20248420135</v>
      </c>
      <c r="P27" s="100">
        <f>입력값!B100</f>
        <v>0.25</v>
      </c>
      <c r="Q27" s="99">
        <f>O27*P27</f>
        <v>41107.050621050337</v>
      </c>
    </row>
    <row r="28" spans="1:17" ht="27.95" customHeight="1" x14ac:dyDescent="0.25">
      <c r="A28" s="147"/>
      <c r="B28" s="97" t="s">
        <v>135</v>
      </c>
      <c r="C28" s="97" t="s">
        <v>136</v>
      </c>
      <c r="D28" s="99"/>
      <c r="E28" s="100"/>
      <c r="F28" s="101"/>
      <c r="G28" s="100"/>
      <c r="H28" s="100"/>
      <c r="I28" s="100"/>
      <c r="J28" s="100"/>
      <c r="K28" s="100"/>
      <c r="L28" s="100"/>
      <c r="M28" s="100"/>
      <c r="N28" s="102"/>
      <c r="O28" s="99"/>
      <c r="P28" s="100"/>
      <c r="Q28" s="99"/>
    </row>
    <row r="29" spans="1:17" ht="27.95" customHeight="1" x14ac:dyDescent="0.25">
      <c r="A29" s="148"/>
      <c r="B29" s="98">
        <f>MIN(입력값!B89*(1-입력값!B90),B27)</f>
        <v>530000000</v>
      </c>
      <c r="C29" s="98">
        <f>MAX(B27-B29,0)</f>
        <v>0</v>
      </c>
      <c r="D29" s="99"/>
      <c r="E29" s="100"/>
      <c r="F29" s="101"/>
      <c r="G29" s="100"/>
      <c r="H29" s="100"/>
      <c r="I29" s="100"/>
      <c r="J29" s="100"/>
      <c r="K29" s="100"/>
      <c r="L29" s="100"/>
      <c r="M29" s="100"/>
      <c r="N29" s="102"/>
      <c r="O29" s="99"/>
      <c r="P29" s="100"/>
      <c r="Q29" s="99"/>
    </row>
    <row r="30" spans="1:17" ht="27.95" customHeight="1" x14ac:dyDescent="0.25">
      <c r="A30" s="111"/>
      <c r="B30" s="112"/>
      <c r="C30" s="112"/>
      <c r="D30" s="113"/>
      <c r="E30" s="114"/>
      <c r="F30" s="115"/>
      <c r="G30" s="114"/>
      <c r="H30" s="114"/>
      <c r="I30" s="114"/>
      <c r="J30" s="114"/>
      <c r="K30" s="114"/>
      <c r="L30" s="114"/>
      <c r="M30" s="114"/>
      <c r="N30" s="116"/>
      <c r="O30" s="113"/>
      <c r="P30" s="114"/>
      <c r="Q30" s="117"/>
    </row>
    <row r="31" spans="1:17" ht="27.95" customHeight="1" x14ac:dyDescent="0.25">
      <c r="A31" s="141" t="s">
        <v>159</v>
      </c>
      <c r="B31" s="142"/>
      <c r="C31" s="142"/>
      <c r="D31" s="142"/>
      <c r="E31" s="96">
        <f>IFERROR(SUM(Q19:Q27)/SUM(P19:P27),0)</f>
        <v>5309540.5333581874</v>
      </c>
      <c r="F31" s="15"/>
      <c r="G31" s="143" t="s">
        <v>160</v>
      </c>
      <c r="H31" s="138"/>
      <c r="I31" s="138"/>
      <c r="J31" s="139"/>
      <c r="K31" s="92">
        <f>$B$4*$E$31</f>
        <v>15564918073.539526</v>
      </c>
      <c r="L31" s="15"/>
      <c r="M31" s="137" t="s">
        <v>161</v>
      </c>
      <c r="N31" s="138"/>
      <c r="O31" s="138"/>
      <c r="P31" s="138"/>
      <c r="Q31" s="139"/>
    </row>
    <row r="32" spans="1:17" x14ac:dyDescent="0.25">
      <c r="A32" s="88"/>
      <c r="B32" s="37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</row>
    <row r="33" spans="1:18" x14ac:dyDescent="0.25">
      <c r="A33" s="88"/>
      <c r="B33" s="37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</row>
    <row r="34" spans="1:18" ht="21.95" customHeight="1" x14ac:dyDescent="0.25">
      <c r="A34" s="145" t="s">
        <v>162</v>
      </c>
      <c r="B34" s="133"/>
      <c r="C34" s="133"/>
      <c r="D34" s="133"/>
      <c r="E34" s="133"/>
      <c r="F34" s="133"/>
      <c r="G34" s="15"/>
      <c r="H34" s="15"/>
      <c r="I34" s="15"/>
      <c r="J34" s="15"/>
      <c r="K34" s="15"/>
      <c r="L34" s="15"/>
      <c r="M34" s="15"/>
      <c r="N34" s="15"/>
    </row>
    <row r="35" spans="1:18" ht="27.95" customHeight="1" x14ac:dyDescent="0.25">
      <c r="A35" s="90" t="s">
        <v>59</v>
      </c>
      <c r="B35" s="91">
        <f>입력값!B54</f>
        <v>0.5</v>
      </c>
      <c r="C35" s="15"/>
      <c r="D35" s="90" t="s">
        <v>163</v>
      </c>
      <c r="E35" s="92">
        <f>M8</f>
        <v>463636635.61358625</v>
      </c>
      <c r="F35" s="15"/>
      <c r="G35" s="15"/>
      <c r="H35" s="15"/>
      <c r="I35" s="15"/>
      <c r="J35" s="15"/>
      <c r="K35" s="15"/>
      <c r="L35" s="15"/>
      <c r="M35" s="15"/>
      <c r="N35" s="15"/>
    </row>
    <row r="36" spans="1:18" ht="27.95" customHeight="1" x14ac:dyDescent="0.25">
      <c r="A36" s="25" t="s">
        <v>60</v>
      </c>
      <c r="B36" s="24">
        <f>입력값!B55</f>
        <v>0.5</v>
      </c>
      <c r="C36" s="15"/>
      <c r="D36" s="25" t="s">
        <v>164</v>
      </c>
      <c r="E36" s="20">
        <f>K31</f>
        <v>15564918073.539526</v>
      </c>
      <c r="F36" s="15"/>
      <c r="G36" s="15"/>
      <c r="H36" s="15"/>
      <c r="I36" s="15"/>
      <c r="J36" s="15"/>
      <c r="K36" s="15"/>
      <c r="L36" s="15"/>
      <c r="M36" s="15"/>
      <c r="N36" s="15"/>
    </row>
    <row r="37" spans="1:18" ht="27.95" customHeight="1" x14ac:dyDescent="0.25">
      <c r="A37" s="25" t="s">
        <v>165</v>
      </c>
      <c r="B37" s="20">
        <f>IFERROR((M8*B35+K31*B36)/(B35+B36),0)</f>
        <v>8014277354.5765562</v>
      </c>
      <c r="C37" s="15"/>
      <c r="D37" s="25" t="s">
        <v>166</v>
      </c>
      <c r="E37" s="124" t="s">
        <v>167</v>
      </c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6"/>
    </row>
    <row r="38" spans="1:18" x14ac:dyDescent="0.25">
      <c r="A38" s="13"/>
      <c r="B38" s="14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</row>
    <row r="39" spans="1:18" ht="21.95" customHeight="1" x14ac:dyDescent="0.25">
      <c r="A39" s="130" t="s">
        <v>168</v>
      </c>
      <c r="B39" s="125"/>
      <c r="C39" s="125"/>
      <c r="D39" s="125"/>
      <c r="E39" s="125"/>
      <c r="F39" s="125"/>
      <c r="G39" s="125"/>
      <c r="H39" s="126"/>
      <c r="I39" s="15"/>
      <c r="J39" s="15"/>
      <c r="K39" s="15"/>
      <c r="L39" s="15"/>
      <c r="M39" s="15"/>
      <c r="N39" s="15"/>
    </row>
    <row r="40" spans="1:18" x14ac:dyDescent="0.25">
      <c r="A40" s="25" t="s">
        <v>8</v>
      </c>
      <c r="B40" s="14">
        <f>입력값!B5</f>
        <v>0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</row>
    <row r="41" spans="1:18" x14ac:dyDescent="0.25">
      <c r="A41" s="25" t="s">
        <v>18</v>
      </c>
      <c r="B41" s="14">
        <f>입력값!B10</f>
        <v>1700000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</row>
    <row r="42" spans="1:18" x14ac:dyDescent="0.25">
      <c r="A42" s="25" t="s">
        <v>20</v>
      </c>
      <c r="B42" s="24">
        <f>입력값!B11</f>
        <v>0.1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</row>
    <row r="43" spans="1:18" x14ac:dyDescent="0.25">
      <c r="A43" s="25" t="s">
        <v>169</v>
      </c>
      <c r="B43" s="20">
        <f>B40*B41*(1+B42)</f>
        <v>0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</row>
    <row r="44" spans="1:18" x14ac:dyDescent="0.25">
      <c r="A44" s="25" t="s">
        <v>170</v>
      </c>
      <c r="B44" s="14">
        <f>입력값!B7</f>
        <v>0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</row>
    <row r="45" spans="1:18" x14ac:dyDescent="0.25">
      <c r="A45" s="25" t="s">
        <v>14</v>
      </c>
      <c r="B45" s="14">
        <f>입력값!B8</f>
        <v>0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</row>
    <row r="46" spans="1:18" x14ac:dyDescent="0.25">
      <c r="A46" s="25" t="s">
        <v>171</v>
      </c>
      <c r="B46" s="26" t="e">
        <f>MIN(B44/B45,1)</f>
        <v>#DIV/0!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</row>
    <row r="47" spans="1:18" x14ac:dyDescent="0.25">
      <c r="A47" s="25" t="s">
        <v>22</v>
      </c>
      <c r="B47" s="24">
        <f>입력값!B12</f>
        <v>0.03</v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</row>
    <row r="48" spans="1:18" x14ac:dyDescent="0.25">
      <c r="A48" s="25" t="s">
        <v>24</v>
      </c>
      <c r="B48" s="24">
        <f>입력값!B13</f>
        <v>0.05</v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</row>
    <row r="49" spans="1:14" x14ac:dyDescent="0.25">
      <c r="A49" s="25" t="s">
        <v>172</v>
      </c>
      <c r="B49" s="26" t="e">
        <f>MIN(B46+B47+B48,0.95)</f>
        <v>#DIV/0!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</row>
    <row r="50" spans="1:14" x14ac:dyDescent="0.25">
      <c r="A50" s="25" t="s">
        <v>173</v>
      </c>
      <c r="B50" s="20" t="e">
        <f>B43*(1-B49)</f>
        <v>#DIV/0!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</row>
    <row r="51" spans="1:14" x14ac:dyDescent="0.2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</row>
    <row r="52" spans="1:14" ht="27.95" customHeight="1" x14ac:dyDescent="0.25">
      <c r="A52" s="12" t="s">
        <v>0</v>
      </c>
      <c r="B52" s="20" t="e">
        <f>B37+B50</f>
        <v>#DIV/0!</v>
      </c>
      <c r="C52" s="15"/>
      <c r="D52" s="25" t="s">
        <v>174</v>
      </c>
      <c r="E52" s="15"/>
      <c r="F52" s="15"/>
      <c r="G52" s="15"/>
      <c r="H52" s="15"/>
      <c r="I52" s="15"/>
      <c r="J52" s="15"/>
      <c r="K52" s="15"/>
      <c r="L52" s="15"/>
      <c r="M52" s="15"/>
      <c r="N52" s="15"/>
    </row>
    <row r="53" spans="1:14" x14ac:dyDescent="0.2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</row>
    <row r="54" spans="1:14" x14ac:dyDescent="0.2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</row>
    <row r="55" spans="1:14" x14ac:dyDescent="0.2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</row>
    <row r="56" spans="1:14" x14ac:dyDescent="0.2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</row>
    <row r="57" spans="1:14" x14ac:dyDescent="0.2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</row>
    <row r="58" spans="1:14" x14ac:dyDescent="0.2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</row>
    <row r="59" spans="1:14" x14ac:dyDescent="0.2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</row>
    <row r="60" spans="1:14" x14ac:dyDescent="0.2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</row>
    <row r="61" spans="1:14" x14ac:dyDescent="0.2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</row>
  </sheetData>
  <mergeCells count="17">
    <mergeCell ref="A39:H39"/>
    <mergeCell ref="A3:C3"/>
    <mergeCell ref="A34:F34"/>
    <mergeCell ref="J13:N13"/>
    <mergeCell ref="E37:R37"/>
    <mergeCell ref="A19:A21"/>
    <mergeCell ref="A23:A25"/>
    <mergeCell ref="A27:A29"/>
    <mergeCell ref="A1:R1"/>
    <mergeCell ref="B13:I13"/>
    <mergeCell ref="A6:N6"/>
    <mergeCell ref="M31:Q31"/>
    <mergeCell ref="O13:R13"/>
    <mergeCell ref="A31:D31"/>
    <mergeCell ref="A10:R10"/>
    <mergeCell ref="G31:J31"/>
    <mergeCell ref="A17:Q17"/>
  </mergeCells>
  <phoneticPr fontId="14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0"/>
  <sheetViews>
    <sheetView showGridLines="0" topLeftCell="B1" workbookViewId="0">
      <selection activeCell="P11" sqref="P11"/>
    </sheetView>
  </sheetViews>
  <sheetFormatPr defaultRowHeight="15" x14ac:dyDescent="0.25"/>
  <cols>
    <col min="1" max="1" width="12" customWidth="1"/>
    <col min="2" max="2" width="18" customWidth="1"/>
    <col min="3" max="3" width="14" customWidth="1"/>
    <col min="4" max="5" width="16" customWidth="1"/>
    <col min="6" max="8" width="12" customWidth="1"/>
    <col min="9" max="9" width="15.42578125" bestFit="1" customWidth="1"/>
    <col min="10" max="10" width="16" customWidth="1"/>
    <col min="11" max="11" width="18" customWidth="1"/>
    <col min="12" max="12" width="10" customWidth="1"/>
    <col min="13" max="13" width="18" customWidth="1"/>
  </cols>
  <sheetData>
    <row r="1" spans="1:13" ht="18.75" x14ac:dyDescent="0.25">
      <c r="A1" s="127" t="s">
        <v>99</v>
      </c>
      <c r="B1" s="128"/>
      <c r="C1" s="128"/>
      <c r="D1" s="128"/>
      <c r="E1" s="129"/>
      <c r="F1" s="128"/>
      <c r="G1" s="128"/>
      <c r="H1" s="128"/>
      <c r="I1" s="128"/>
      <c r="J1" s="128"/>
      <c r="K1" s="128"/>
      <c r="L1" s="128"/>
      <c r="M1" s="128"/>
    </row>
    <row r="2" spans="1:13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2" t="s">
        <v>100</v>
      </c>
      <c r="B3" s="16">
        <f>입력값!B5</f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6.5" x14ac:dyDescent="0.3">
      <c r="A4" t="s">
        <v>101</v>
      </c>
      <c r="B4" s="73" t="s">
        <v>310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6.5" x14ac:dyDescent="0.25">
      <c r="A6" s="3" t="s">
        <v>102</v>
      </c>
      <c r="B6" s="3" t="s">
        <v>103</v>
      </c>
      <c r="C6" s="3" t="s">
        <v>104</v>
      </c>
      <c r="D6" s="3" t="s">
        <v>105</v>
      </c>
      <c r="E6" s="27" t="s">
        <v>211</v>
      </c>
      <c r="F6" s="3" t="s">
        <v>106</v>
      </c>
      <c r="G6" s="3" t="s">
        <v>308</v>
      </c>
      <c r="H6" s="72" t="s">
        <v>309</v>
      </c>
      <c r="I6" s="62" t="s">
        <v>311</v>
      </c>
      <c r="J6" s="3" t="s">
        <v>107</v>
      </c>
      <c r="K6" s="3" t="s">
        <v>108</v>
      </c>
      <c r="L6" s="3" t="s">
        <v>109</v>
      </c>
      <c r="M6" s="3" t="s">
        <v>110</v>
      </c>
    </row>
    <row r="7" spans="1:13" x14ac:dyDescent="0.25">
      <c r="A7" s="4" t="s">
        <v>111</v>
      </c>
      <c r="B7" s="63">
        <v>2450000000</v>
      </c>
      <c r="C7" s="63">
        <v>880</v>
      </c>
      <c r="D7" s="29">
        <f>IFERROR(B7/C7,0)</f>
        <v>2784090.9090909092</v>
      </c>
      <c r="E7" s="64">
        <v>1</v>
      </c>
      <c r="F7" s="64">
        <v>1.02</v>
      </c>
      <c r="G7" s="64">
        <v>1</v>
      </c>
      <c r="H7" s="64">
        <v>0.98</v>
      </c>
      <c r="I7" s="64">
        <f>I13</f>
        <v>0.9749531199999999</v>
      </c>
      <c r="J7" s="10">
        <f t="shared" ref="J7:J14" si="0">D7*E7*F7*G7*H7*I7</f>
        <v>2713272.3749345453</v>
      </c>
      <c r="K7" s="10">
        <f>J7*$B$3</f>
        <v>0</v>
      </c>
      <c r="L7" s="9">
        <v>0.35</v>
      </c>
      <c r="M7" s="10">
        <f>K7*L7</f>
        <v>0</v>
      </c>
    </row>
    <row r="8" spans="1:13" x14ac:dyDescent="0.25">
      <c r="A8" s="4"/>
      <c r="B8" s="69"/>
      <c r="C8" s="69"/>
      <c r="D8" s="70"/>
      <c r="E8" s="71"/>
      <c r="F8" s="71"/>
      <c r="G8" s="71"/>
      <c r="H8" s="71"/>
      <c r="I8" s="71"/>
      <c r="J8" s="10"/>
      <c r="K8" s="10"/>
      <c r="L8" s="9"/>
      <c r="M8" s="10"/>
    </row>
    <row r="9" spans="1:13" ht="16.5" x14ac:dyDescent="0.25">
      <c r="A9" s="4"/>
      <c r="B9" s="80" t="s">
        <v>312</v>
      </c>
      <c r="C9" s="76" t="s">
        <v>315</v>
      </c>
      <c r="D9" s="76" t="s">
        <v>316</v>
      </c>
      <c r="E9" s="77" t="s">
        <v>317</v>
      </c>
      <c r="F9" s="77" t="s">
        <v>318</v>
      </c>
      <c r="G9" s="77" t="s">
        <v>319</v>
      </c>
      <c r="H9" s="77" t="s">
        <v>320</v>
      </c>
      <c r="I9" s="74"/>
      <c r="J9" s="66"/>
      <c r="K9" s="66"/>
      <c r="L9" s="68"/>
      <c r="M9" s="66"/>
    </row>
    <row r="10" spans="1:13" ht="16.5" customHeight="1" x14ac:dyDescent="0.25">
      <c r="A10" s="4"/>
      <c r="B10" s="81">
        <v>0.48</v>
      </c>
      <c r="C10" s="78">
        <v>1</v>
      </c>
      <c r="D10" s="78">
        <v>1</v>
      </c>
      <c r="E10" s="78">
        <v>1.012</v>
      </c>
      <c r="F10" s="78">
        <v>1</v>
      </c>
      <c r="G10" s="78">
        <v>1</v>
      </c>
      <c r="H10" s="78">
        <v>1</v>
      </c>
      <c r="I10" s="78">
        <f t="shared" ref="I10" si="1">PRODUCT(C10:H10)</f>
        <v>1.012</v>
      </c>
      <c r="J10" s="66"/>
      <c r="K10" s="66"/>
      <c r="L10" s="68"/>
      <c r="M10" s="66"/>
    </row>
    <row r="11" spans="1:13" ht="16.5" x14ac:dyDescent="0.25">
      <c r="A11" s="4"/>
      <c r="B11" s="80" t="s">
        <v>313</v>
      </c>
      <c r="C11" s="76" t="s">
        <v>321</v>
      </c>
      <c r="D11" s="76" t="s">
        <v>322</v>
      </c>
      <c r="E11" s="77" t="s">
        <v>323</v>
      </c>
      <c r="F11" s="77" t="s">
        <v>324</v>
      </c>
      <c r="G11" s="77" t="s">
        <v>325</v>
      </c>
      <c r="H11" s="77" t="s">
        <v>326</v>
      </c>
      <c r="I11" s="79"/>
      <c r="J11" s="66"/>
      <c r="K11" s="66"/>
      <c r="L11" s="68"/>
      <c r="M11" s="66"/>
    </row>
    <row r="12" spans="1:13" ht="16.5" customHeight="1" x14ac:dyDescent="0.25">
      <c r="A12" s="4"/>
      <c r="B12" s="81">
        <v>0.52</v>
      </c>
      <c r="C12" s="78">
        <v>1</v>
      </c>
      <c r="D12" s="78">
        <v>1</v>
      </c>
      <c r="E12" s="78">
        <v>1</v>
      </c>
      <c r="F12" s="78">
        <v>1</v>
      </c>
      <c r="G12" s="78">
        <v>0.98199999999999998</v>
      </c>
      <c r="H12" s="78">
        <v>0.95799999999999996</v>
      </c>
      <c r="I12" s="78">
        <f>PRODUCT(C12:H12)</f>
        <v>0.94075599999999993</v>
      </c>
      <c r="J12" s="66"/>
      <c r="K12" s="66"/>
      <c r="L12" s="68"/>
      <c r="M12" s="66"/>
    </row>
    <row r="13" spans="1:13" ht="16.5" x14ac:dyDescent="0.25">
      <c r="A13" s="4"/>
      <c r="B13" s="75" t="s">
        <v>314</v>
      </c>
      <c r="C13" s="149"/>
      <c r="D13" s="150"/>
      <c r="E13" s="150"/>
      <c r="F13" s="150"/>
      <c r="G13" s="150"/>
      <c r="H13" s="151"/>
      <c r="I13" s="79">
        <f>B10*I10+B12*I12</f>
        <v>0.9749531199999999</v>
      </c>
      <c r="J13" s="66"/>
      <c r="K13" s="66"/>
      <c r="L13" s="68"/>
      <c r="M13" s="66"/>
    </row>
    <row r="14" spans="1:13" x14ac:dyDescent="0.25">
      <c r="A14" s="4" t="s">
        <v>112</v>
      </c>
      <c r="B14" s="8">
        <v>2680000000</v>
      </c>
      <c r="C14" s="8">
        <v>930</v>
      </c>
      <c r="D14" s="10">
        <f>IFERROR(B14/C14,0)</f>
        <v>2881720.4301075269</v>
      </c>
      <c r="E14" s="5">
        <v>1</v>
      </c>
      <c r="F14" s="5">
        <v>1.01</v>
      </c>
      <c r="G14" s="5">
        <v>1.03</v>
      </c>
      <c r="H14" s="5">
        <v>1</v>
      </c>
      <c r="I14" s="5">
        <v>0.99</v>
      </c>
      <c r="J14" s="10">
        <f t="shared" si="0"/>
        <v>2967875.2258064514</v>
      </c>
      <c r="K14" s="10">
        <f>J14*$B$3</f>
        <v>0</v>
      </c>
      <c r="L14" s="9">
        <v>0.4</v>
      </c>
      <c r="M14" s="10">
        <f>K14*L14</f>
        <v>0</v>
      </c>
    </row>
    <row r="15" spans="1:13" x14ac:dyDescent="0.25">
      <c r="A15" s="4"/>
      <c r="B15" s="69"/>
      <c r="C15" s="65"/>
      <c r="D15" s="66"/>
      <c r="E15" s="67"/>
      <c r="F15" s="67"/>
      <c r="G15" s="67"/>
      <c r="H15" s="67"/>
      <c r="I15" s="67"/>
      <c r="J15" s="10"/>
      <c r="K15" s="10"/>
      <c r="L15" s="9"/>
      <c r="M15" s="10"/>
    </row>
    <row r="16" spans="1:13" ht="16.5" x14ac:dyDescent="0.25">
      <c r="A16" s="4"/>
      <c r="B16" s="80" t="s">
        <v>312</v>
      </c>
      <c r="C16" s="76" t="s">
        <v>315</v>
      </c>
      <c r="D16" s="76" t="s">
        <v>316</v>
      </c>
      <c r="E16" s="77" t="s">
        <v>317</v>
      </c>
      <c r="F16" s="77" t="s">
        <v>318</v>
      </c>
      <c r="G16" s="77" t="s">
        <v>319</v>
      </c>
      <c r="H16" s="77" t="s">
        <v>320</v>
      </c>
      <c r="I16" s="74"/>
      <c r="J16" s="66"/>
      <c r="K16" s="66"/>
      <c r="L16" s="68"/>
      <c r="M16" s="66"/>
    </row>
    <row r="17" spans="1:13" ht="16.5" x14ac:dyDescent="0.25">
      <c r="A17" s="4"/>
      <c r="B17" s="81">
        <v>0.48</v>
      </c>
      <c r="C17" s="78">
        <v>1</v>
      </c>
      <c r="D17" s="78">
        <v>1</v>
      </c>
      <c r="E17" s="78">
        <v>1.012</v>
      </c>
      <c r="F17" s="78">
        <v>1</v>
      </c>
      <c r="G17" s="78">
        <v>1</v>
      </c>
      <c r="H17" s="78">
        <v>1</v>
      </c>
      <c r="I17" s="78">
        <f t="shared" ref="I17" si="2">PRODUCT(C17:H17)</f>
        <v>1.012</v>
      </c>
      <c r="J17" s="66"/>
      <c r="K17" s="66"/>
      <c r="L17" s="68"/>
      <c r="M17" s="66"/>
    </row>
    <row r="18" spans="1:13" ht="16.5" x14ac:dyDescent="0.25">
      <c r="A18" s="4"/>
      <c r="B18" s="80" t="s">
        <v>313</v>
      </c>
      <c r="C18" s="76" t="s">
        <v>321</v>
      </c>
      <c r="D18" s="76" t="s">
        <v>322</v>
      </c>
      <c r="E18" s="77" t="s">
        <v>323</v>
      </c>
      <c r="F18" s="77" t="s">
        <v>324</v>
      </c>
      <c r="G18" s="77" t="s">
        <v>325</v>
      </c>
      <c r="H18" s="77" t="s">
        <v>326</v>
      </c>
      <c r="I18" s="79"/>
      <c r="J18" s="66"/>
      <c r="K18" s="66"/>
      <c r="L18" s="68"/>
      <c r="M18" s="66"/>
    </row>
    <row r="19" spans="1:13" ht="16.5" x14ac:dyDescent="0.25">
      <c r="A19" s="4"/>
      <c r="B19" s="81">
        <v>0.52</v>
      </c>
      <c r="C19" s="78">
        <v>1</v>
      </c>
      <c r="D19" s="78">
        <v>1</v>
      </c>
      <c r="E19" s="78">
        <v>1</v>
      </c>
      <c r="F19" s="78">
        <v>1</v>
      </c>
      <c r="G19" s="78">
        <v>0.98199999999999998</v>
      </c>
      <c r="H19" s="78">
        <v>0.95799999999999996</v>
      </c>
      <c r="I19" s="78">
        <f>PRODUCT(C19:H19)</f>
        <v>0.94075599999999993</v>
      </c>
      <c r="J19" s="66"/>
      <c r="K19" s="66"/>
      <c r="L19" s="68"/>
      <c r="M19" s="66"/>
    </row>
    <row r="20" spans="1:13" ht="16.5" x14ac:dyDescent="0.25">
      <c r="A20" s="4"/>
      <c r="B20" s="75" t="s">
        <v>314</v>
      </c>
      <c r="C20" s="149"/>
      <c r="D20" s="150"/>
      <c r="E20" s="150"/>
      <c r="F20" s="150"/>
      <c r="G20" s="150"/>
      <c r="H20" s="151"/>
      <c r="I20" s="79">
        <f>B17*I17+B19*I19</f>
        <v>0.9749531199999999</v>
      </c>
      <c r="J20" s="66"/>
      <c r="K20" s="66"/>
      <c r="L20" s="68"/>
      <c r="M20" s="66"/>
    </row>
    <row r="21" spans="1:13" x14ac:dyDescent="0.25">
      <c r="A21" s="4" t="s">
        <v>113</v>
      </c>
      <c r="B21" s="63">
        <v>2310000000</v>
      </c>
      <c r="C21" s="63">
        <v>850</v>
      </c>
      <c r="D21" s="29">
        <f>IFERROR(B21/C21,0)</f>
        <v>2717647.0588235296</v>
      </c>
      <c r="E21" s="64">
        <v>1</v>
      </c>
      <c r="F21" s="64">
        <v>1.03</v>
      </c>
      <c r="G21" s="64">
        <v>0.97</v>
      </c>
      <c r="H21" s="64">
        <v>1.02</v>
      </c>
      <c r="I21" s="64">
        <v>1</v>
      </c>
      <c r="J21" s="10">
        <f>D21*E21*F21*G21*H21*I21</f>
        <v>2769505.2</v>
      </c>
      <c r="K21" s="10">
        <f>J21*$B$3</f>
        <v>0</v>
      </c>
      <c r="L21" s="9">
        <v>0.25</v>
      </c>
      <c r="M21" s="10">
        <f>K21*L21</f>
        <v>0</v>
      </c>
    </row>
    <row r="22" spans="1:13" x14ac:dyDescent="0.25">
      <c r="A22" s="4"/>
      <c r="B22" s="152"/>
      <c r="C22" s="153"/>
      <c r="D22" s="153"/>
      <c r="E22" s="153"/>
      <c r="F22" s="153"/>
      <c r="G22" s="153"/>
      <c r="H22" s="153"/>
      <c r="I22" s="154"/>
      <c r="J22" s="66"/>
      <c r="K22" s="66"/>
      <c r="L22" s="68"/>
      <c r="M22" s="66"/>
    </row>
    <row r="23" spans="1:13" ht="16.5" x14ac:dyDescent="0.25">
      <c r="A23" s="4"/>
      <c r="B23" s="80" t="s">
        <v>312</v>
      </c>
      <c r="C23" s="76" t="s">
        <v>315</v>
      </c>
      <c r="D23" s="76" t="s">
        <v>316</v>
      </c>
      <c r="E23" s="77" t="s">
        <v>317</v>
      </c>
      <c r="F23" s="77" t="s">
        <v>318</v>
      </c>
      <c r="G23" s="77" t="s">
        <v>319</v>
      </c>
      <c r="H23" s="77" t="s">
        <v>320</v>
      </c>
      <c r="I23" s="74"/>
      <c r="J23" s="66"/>
      <c r="K23" s="66"/>
      <c r="L23" s="68"/>
      <c r="M23" s="66"/>
    </row>
    <row r="24" spans="1:13" ht="16.5" x14ac:dyDescent="0.25">
      <c r="A24" s="4"/>
      <c r="B24" s="81">
        <v>0.48</v>
      </c>
      <c r="C24" s="78">
        <v>1</v>
      </c>
      <c r="D24" s="78">
        <v>1</v>
      </c>
      <c r="E24" s="78">
        <v>1.012</v>
      </c>
      <c r="F24" s="78">
        <v>1</v>
      </c>
      <c r="G24" s="78">
        <v>1</v>
      </c>
      <c r="H24" s="78">
        <v>1</v>
      </c>
      <c r="I24" s="78">
        <f t="shared" ref="I24" si="3">PRODUCT(C24:H24)</f>
        <v>1.012</v>
      </c>
      <c r="J24" s="66"/>
      <c r="K24" s="66"/>
      <c r="L24" s="68"/>
      <c r="M24" s="66"/>
    </row>
    <row r="25" spans="1:13" ht="16.5" x14ac:dyDescent="0.25">
      <c r="A25" s="4"/>
      <c r="B25" s="80" t="s">
        <v>313</v>
      </c>
      <c r="C25" s="76" t="s">
        <v>321</v>
      </c>
      <c r="D25" s="76" t="s">
        <v>322</v>
      </c>
      <c r="E25" s="77" t="s">
        <v>323</v>
      </c>
      <c r="F25" s="77" t="s">
        <v>324</v>
      </c>
      <c r="G25" s="77" t="s">
        <v>325</v>
      </c>
      <c r="H25" s="77" t="s">
        <v>326</v>
      </c>
      <c r="I25" s="79"/>
      <c r="J25" s="66"/>
      <c r="K25" s="66"/>
      <c r="L25" s="68"/>
      <c r="M25" s="66"/>
    </row>
    <row r="26" spans="1:13" ht="16.5" x14ac:dyDescent="0.25">
      <c r="A26" s="4"/>
      <c r="B26" s="81">
        <v>0.52</v>
      </c>
      <c r="C26" s="78">
        <v>1</v>
      </c>
      <c r="D26" s="78">
        <v>1</v>
      </c>
      <c r="E26" s="78">
        <v>1</v>
      </c>
      <c r="F26" s="78">
        <v>1</v>
      </c>
      <c r="G26" s="78">
        <v>0.98199999999999998</v>
      </c>
      <c r="H26" s="78">
        <v>0.95799999999999996</v>
      </c>
      <c r="I26" s="78">
        <f>PRODUCT(C26:H26)</f>
        <v>0.94075599999999993</v>
      </c>
      <c r="J26" s="66"/>
      <c r="K26" s="66"/>
      <c r="L26" s="68"/>
      <c r="M26" s="66"/>
    </row>
    <row r="27" spans="1:13" ht="16.5" x14ac:dyDescent="0.25">
      <c r="A27" s="4"/>
      <c r="B27" s="75" t="s">
        <v>314</v>
      </c>
      <c r="C27" s="149"/>
      <c r="D27" s="150"/>
      <c r="E27" s="150"/>
      <c r="F27" s="150"/>
      <c r="G27" s="150"/>
      <c r="H27" s="151"/>
      <c r="I27" s="79">
        <f>B24*I24+B26*I26</f>
        <v>0.9749531199999999</v>
      </c>
      <c r="J27" s="66"/>
      <c r="K27" s="66"/>
      <c r="L27" s="68"/>
      <c r="M27" s="66"/>
    </row>
    <row r="28" spans="1:13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x14ac:dyDescent="0.25">
      <c r="A29" s="2" t="s">
        <v>114</v>
      </c>
      <c r="B29" s="1"/>
      <c r="C29" s="1"/>
      <c r="D29" s="1"/>
      <c r="E29" s="1"/>
      <c r="F29" s="1"/>
      <c r="G29" s="1"/>
      <c r="H29" s="1"/>
      <c r="I29" s="1"/>
      <c r="J29" s="1"/>
      <c r="K29" s="17">
        <f>IFERROR(SUM(M7:M21)/SUM(L7:L21),0)</f>
        <v>0</v>
      </c>
      <c r="L29" s="1"/>
      <c r="M29" s="1"/>
    </row>
    <row r="30" spans="1:13" x14ac:dyDescent="0.25">
      <c r="A30" s="2" t="s">
        <v>115</v>
      </c>
      <c r="B30" s="18">
        <f>SUM(L7:L21)</f>
        <v>1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</sheetData>
  <mergeCells count="5">
    <mergeCell ref="C20:H20"/>
    <mergeCell ref="C27:H27"/>
    <mergeCell ref="B22:I22"/>
    <mergeCell ref="A1:M1"/>
    <mergeCell ref="C13:H13"/>
  </mergeCells>
  <phoneticPr fontId="14" type="noConversion"/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2"/>
  <sheetViews>
    <sheetView showGridLines="0" workbookViewId="0">
      <selection activeCell="B23" sqref="B23"/>
    </sheetView>
  </sheetViews>
  <sheetFormatPr defaultRowHeight="15" x14ac:dyDescent="0.25"/>
  <cols>
    <col min="1" max="1" width="30" customWidth="1"/>
    <col min="2" max="2" width="16" customWidth="1"/>
    <col min="3" max="8" width="18.7109375" customWidth="1"/>
    <col min="12" max="12" width="9.140625" customWidth="1"/>
  </cols>
  <sheetData>
    <row r="1" spans="1:8" ht="18.75" x14ac:dyDescent="0.25">
      <c r="A1" s="127" t="s">
        <v>175</v>
      </c>
      <c r="B1" s="128"/>
      <c r="C1" s="128"/>
      <c r="D1" s="128"/>
      <c r="E1" s="128"/>
      <c r="F1" s="128"/>
      <c r="G1" s="128"/>
      <c r="H1" s="128"/>
    </row>
    <row r="2" spans="1:8" ht="15.75" thickBot="1" x14ac:dyDescent="0.3">
      <c r="B2" s="1"/>
      <c r="C2" s="1"/>
      <c r="D2" s="1"/>
      <c r="E2" s="1"/>
      <c r="F2" s="1"/>
      <c r="G2" s="1"/>
      <c r="H2" s="1"/>
    </row>
    <row r="3" spans="1:8" ht="19.5" thickBot="1" x14ac:dyDescent="0.3">
      <c r="B3" s="1"/>
      <c r="C3" s="1"/>
      <c r="D3" s="127" t="s">
        <v>176</v>
      </c>
      <c r="E3" s="128"/>
      <c r="F3" s="128"/>
      <c r="G3" s="128"/>
      <c r="H3" s="128"/>
    </row>
    <row r="4" spans="1:8" x14ac:dyDescent="0.25">
      <c r="A4" s="2" t="s">
        <v>10</v>
      </c>
      <c r="B4" s="16">
        <f>입력값!B6</f>
        <v>0</v>
      </c>
      <c r="C4" s="1"/>
      <c r="D4" s="2" t="s">
        <v>177</v>
      </c>
      <c r="E4" s="10">
        <f>B4*B5*12+B7</f>
        <v>18000000</v>
      </c>
      <c r="F4" s="1"/>
      <c r="G4" s="1"/>
      <c r="H4" s="1"/>
    </row>
    <row r="5" spans="1:8" x14ac:dyDescent="0.25">
      <c r="A5" s="2" t="s">
        <v>178</v>
      </c>
      <c r="B5" s="16">
        <f>입력값!B19</f>
        <v>27000</v>
      </c>
      <c r="C5" s="1"/>
      <c r="D5" s="2" t="s">
        <v>179</v>
      </c>
      <c r="E5" s="10">
        <f>E4*B6</f>
        <v>16740000</v>
      </c>
      <c r="F5" s="1"/>
      <c r="G5" s="1"/>
      <c r="H5" s="1"/>
    </row>
    <row r="6" spans="1:8" x14ac:dyDescent="0.25">
      <c r="A6" s="2" t="s">
        <v>29</v>
      </c>
      <c r="B6" s="21">
        <f>입력값!B20</f>
        <v>0.93</v>
      </c>
      <c r="C6" s="1"/>
      <c r="D6" s="2" t="s">
        <v>180</v>
      </c>
      <c r="E6" s="10">
        <f>E5*B8</f>
        <v>4017600</v>
      </c>
      <c r="F6" s="1"/>
      <c r="G6" s="1"/>
      <c r="H6" s="1"/>
    </row>
    <row r="7" spans="1:8" x14ac:dyDescent="0.25">
      <c r="A7" s="2" t="s">
        <v>181</v>
      </c>
      <c r="B7" s="16">
        <f>입력값!B21</f>
        <v>18000000</v>
      </c>
      <c r="C7" s="1"/>
      <c r="D7" s="2" t="s">
        <v>182</v>
      </c>
      <c r="E7" s="10">
        <f>B13</f>
        <v>15000000</v>
      </c>
      <c r="F7" s="1"/>
      <c r="G7" s="1"/>
      <c r="H7" s="1"/>
    </row>
    <row r="8" spans="1:8" x14ac:dyDescent="0.25">
      <c r="A8" s="2" t="s">
        <v>31</v>
      </c>
      <c r="B8" s="21">
        <f>입력값!B22</f>
        <v>0.24</v>
      </c>
      <c r="C8" s="1"/>
      <c r="D8" s="2" t="s">
        <v>183</v>
      </c>
      <c r="E8" s="10">
        <f>E5-E6-E7</f>
        <v>-2277600</v>
      </c>
      <c r="F8" s="1"/>
      <c r="G8" s="1"/>
      <c r="H8" s="1"/>
    </row>
    <row r="9" spans="1:8" x14ac:dyDescent="0.25">
      <c r="A9" s="2" t="s">
        <v>32</v>
      </c>
      <c r="B9" s="21">
        <f>입력값!B23</f>
        <v>0.02</v>
      </c>
      <c r="C9" s="1"/>
      <c r="D9" s="2" t="s">
        <v>184</v>
      </c>
      <c r="E9" s="17">
        <f>IFERROR(E8/B12,0)</f>
        <v>-41410909.090909094</v>
      </c>
      <c r="F9" s="1"/>
      <c r="G9" s="1"/>
      <c r="H9" s="1"/>
    </row>
    <row r="10" spans="1:8" x14ac:dyDescent="0.25">
      <c r="A10" s="2" t="s">
        <v>33</v>
      </c>
      <c r="B10" s="21">
        <f>입력값!B24</f>
        <v>0.08</v>
      </c>
      <c r="C10" s="1"/>
      <c r="D10" s="1"/>
      <c r="E10" s="1"/>
      <c r="F10" s="1"/>
      <c r="G10" s="1"/>
      <c r="H10" s="1"/>
    </row>
    <row r="11" spans="1:8" x14ac:dyDescent="0.25">
      <c r="A11" s="2" t="s">
        <v>34</v>
      </c>
      <c r="B11" s="21">
        <f>입력값!B25</f>
        <v>0.06</v>
      </c>
      <c r="C11" s="1"/>
      <c r="D11" s="1"/>
      <c r="E11" s="1"/>
      <c r="F11" s="1"/>
      <c r="G11" s="1"/>
      <c r="H11" s="1"/>
    </row>
    <row r="12" spans="1:8" x14ac:dyDescent="0.25">
      <c r="A12" s="2" t="s">
        <v>35</v>
      </c>
      <c r="B12" s="21">
        <f>입력값!B26</f>
        <v>5.5E-2</v>
      </c>
      <c r="C12" s="1"/>
      <c r="D12" s="1"/>
      <c r="E12" s="1"/>
      <c r="F12" s="1"/>
      <c r="G12" s="1"/>
      <c r="H12" s="1"/>
    </row>
    <row r="13" spans="1:8" ht="16.5" x14ac:dyDescent="0.25">
      <c r="A13" s="60" t="s">
        <v>327</v>
      </c>
      <c r="B13" s="16">
        <f>입력값!B27</f>
        <v>15000000</v>
      </c>
      <c r="C13" s="1"/>
      <c r="D13" s="1"/>
      <c r="E13" s="1"/>
      <c r="F13" s="1"/>
      <c r="G13" s="1"/>
      <c r="H13" s="1"/>
    </row>
    <row r="14" spans="1:8" x14ac:dyDescent="0.25">
      <c r="A14" s="2" t="s">
        <v>26</v>
      </c>
      <c r="B14" s="21">
        <f>입력값!B15</f>
        <v>0.5</v>
      </c>
      <c r="C14" s="1"/>
      <c r="D14" s="1"/>
      <c r="E14" s="1"/>
      <c r="F14" s="1"/>
      <c r="G14" s="1"/>
      <c r="H14" s="1"/>
    </row>
    <row r="15" spans="1:8" x14ac:dyDescent="0.25">
      <c r="B15" s="1"/>
      <c r="C15" s="1"/>
      <c r="D15" s="1"/>
      <c r="E15" s="1"/>
      <c r="F15" s="1"/>
      <c r="G15" s="1"/>
      <c r="H15" s="1"/>
    </row>
    <row r="16" spans="1:8" x14ac:dyDescent="0.25">
      <c r="B16" s="1"/>
      <c r="C16" s="1"/>
      <c r="D16" s="1"/>
      <c r="E16" s="1"/>
      <c r="F16" s="1"/>
      <c r="G16" s="1"/>
      <c r="H16" s="1"/>
    </row>
    <row r="17" spans="1:8" ht="18.75" x14ac:dyDescent="0.25">
      <c r="A17" s="155" t="s">
        <v>185</v>
      </c>
      <c r="B17" s="155"/>
      <c r="C17" s="155"/>
      <c r="D17" s="155"/>
      <c r="E17" s="155"/>
      <c r="F17" s="155"/>
      <c r="G17" s="155"/>
      <c r="H17" s="155"/>
    </row>
    <row r="18" spans="1:8" x14ac:dyDescent="0.25">
      <c r="B18" s="1"/>
      <c r="C18" s="3" t="s">
        <v>186</v>
      </c>
      <c r="D18" s="3" t="s">
        <v>187</v>
      </c>
      <c r="E18" s="3" t="s">
        <v>188</v>
      </c>
      <c r="F18" s="3" t="s">
        <v>189</v>
      </c>
      <c r="G18" s="3" t="s">
        <v>190</v>
      </c>
      <c r="H18" s="3" t="s">
        <v>214</v>
      </c>
    </row>
    <row r="19" spans="1:8" x14ac:dyDescent="0.25">
      <c r="A19" s="2" t="s">
        <v>191</v>
      </c>
      <c r="B19" s="1"/>
      <c r="C19" s="10">
        <f>($B$4*$B$5*12+$B$7)</f>
        <v>18000000</v>
      </c>
      <c r="D19" s="10">
        <f>C19*(1+$B$9)</f>
        <v>18360000</v>
      </c>
      <c r="E19" s="10">
        <f>D19*(1+$B$9)</f>
        <v>18727200</v>
      </c>
      <c r="F19" s="10">
        <f>E19*(1+$B$9)</f>
        <v>19101744</v>
      </c>
      <c r="G19" s="10">
        <f>F19*(1+$B$9)</f>
        <v>19483778.879999999</v>
      </c>
      <c r="H19" s="10">
        <f>G19*(1+$B$9)</f>
        <v>19873454.457599998</v>
      </c>
    </row>
    <row r="20" spans="1:8" x14ac:dyDescent="0.25">
      <c r="A20" s="2" t="s">
        <v>11</v>
      </c>
      <c r="B20" s="1"/>
      <c r="C20" s="11">
        <f t="shared" ref="C20:H20" si="0">$B$6</f>
        <v>0.93</v>
      </c>
      <c r="D20" s="11">
        <f t="shared" si="0"/>
        <v>0.93</v>
      </c>
      <c r="E20" s="11">
        <f t="shared" si="0"/>
        <v>0.93</v>
      </c>
      <c r="F20" s="11">
        <f t="shared" si="0"/>
        <v>0.93</v>
      </c>
      <c r="G20" s="11">
        <f t="shared" si="0"/>
        <v>0.93</v>
      </c>
      <c r="H20" s="11">
        <f t="shared" si="0"/>
        <v>0.93</v>
      </c>
    </row>
    <row r="21" spans="1:8" x14ac:dyDescent="0.25">
      <c r="A21" s="2" t="s">
        <v>192</v>
      </c>
      <c r="B21" s="1"/>
      <c r="C21" s="10">
        <f t="shared" ref="C21:H21" si="1">C19*C20</f>
        <v>16740000</v>
      </c>
      <c r="D21" s="10">
        <f t="shared" si="1"/>
        <v>17074800</v>
      </c>
      <c r="E21" s="10">
        <f t="shared" si="1"/>
        <v>17416296</v>
      </c>
      <c r="F21" s="10">
        <f t="shared" si="1"/>
        <v>17764621.920000002</v>
      </c>
      <c r="G21" s="10">
        <f t="shared" si="1"/>
        <v>18119914.358399998</v>
      </c>
      <c r="H21" s="10">
        <f t="shared" si="1"/>
        <v>18482312.645567998</v>
      </c>
    </row>
    <row r="22" spans="1:8" x14ac:dyDescent="0.25">
      <c r="A22" s="2" t="s">
        <v>15</v>
      </c>
      <c r="B22" s="1"/>
      <c r="C22" s="11">
        <f t="shared" ref="C22:H22" si="2">$B$8</f>
        <v>0.24</v>
      </c>
      <c r="D22" s="11">
        <f t="shared" si="2"/>
        <v>0.24</v>
      </c>
      <c r="E22" s="11">
        <f t="shared" si="2"/>
        <v>0.24</v>
      </c>
      <c r="F22" s="11">
        <f t="shared" si="2"/>
        <v>0.24</v>
      </c>
      <c r="G22" s="11">
        <f t="shared" si="2"/>
        <v>0.24</v>
      </c>
      <c r="H22" s="11">
        <f t="shared" si="2"/>
        <v>0.24</v>
      </c>
    </row>
    <row r="23" spans="1:8" x14ac:dyDescent="0.25">
      <c r="A23" s="2" t="s">
        <v>193</v>
      </c>
      <c r="B23" s="1"/>
      <c r="C23" s="10">
        <f t="shared" ref="C23:H23" si="3">C21*C22</f>
        <v>4017600</v>
      </c>
      <c r="D23" s="10">
        <f t="shared" si="3"/>
        <v>4097952</v>
      </c>
      <c r="E23" s="10">
        <f t="shared" si="3"/>
        <v>4179911.04</v>
      </c>
      <c r="F23" s="10">
        <f t="shared" si="3"/>
        <v>4263509.2608000003</v>
      </c>
      <c r="G23" s="10">
        <f t="shared" si="3"/>
        <v>4348779.4460159997</v>
      </c>
      <c r="H23" s="10">
        <f t="shared" si="3"/>
        <v>4435755.0349363191</v>
      </c>
    </row>
    <row r="24" spans="1:8" x14ac:dyDescent="0.25">
      <c r="A24" s="2" t="s">
        <v>194</v>
      </c>
      <c r="B24" s="1"/>
      <c r="C24" s="10">
        <f t="shared" ref="C24:H24" si="4">$B$13</f>
        <v>15000000</v>
      </c>
      <c r="D24" s="10">
        <f t="shared" si="4"/>
        <v>15000000</v>
      </c>
      <c r="E24" s="10">
        <f t="shared" si="4"/>
        <v>15000000</v>
      </c>
      <c r="F24" s="10">
        <f t="shared" si="4"/>
        <v>15000000</v>
      </c>
      <c r="G24" s="10">
        <f t="shared" si="4"/>
        <v>15000000</v>
      </c>
      <c r="H24" s="10">
        <f t="shared" si="4"/>
        <v>15000000</v>
      </c>
    </row>
    <row r="25" spans="1:8" x14ac:dyDescent="0.25">
      <c r="A25" s="2" t="s">
        <v>195</v>
      </c>
      <c r="B25" s="1"/>
      <c r="C25" s="10">
        <f t="shared" ref="C25:H25" si="5">C21-C23-C24</f>
        <v>-2277600</v>
      </c>
      <c r="D25" s="10">
        <f t="shared" si="5"/>
        <v>-2023152</v>
      </c>
      <c r="E25" s="10">
        <f t="shared" si="5"/>
        <v>-1763615.0399999991</v>
      </c>
      <c r="F25" s="10">
        <f t="shared" si="5"/>
        <v>-1498887.3407999985</v>
      </c>
      <c r="G25" s="10">
        <f t="shared" si="5"/>
        <v>-1228865.0876160003</v>
      </c>
      <c r="H25" s="10">
        <f t="shared" si="5"/>
        <v>-953442.38936832175</v>
      </c>
    </row>
    <row r="26" spans="1:8" x14ac:dyDescent="0.25">
      <c r="A26" s="2" t="s">
        <v>196</v>
      </c>
      <c r="B26" s="1"/>
      <c r="C26" s="6">
        <f>1/(1+$B$10)^1</f>
        <v>0.92592592592592582</v>
      </c>
      <c r="D26" s="6">
        <f>1/(1+$B$10)^2</f>
        <v>0.85733882030178321</v>
      </c>
      <c r="E26" s="6">
        <f>1/(1+$B$10)^3</f>
        <v>0.79383224102016958</v>
      </c>
      <c r="F26" s="6">
        <f>1/(1+$B$10)^4</f>
        <v>0.73502985279645328</v>
      </c>
      <c r="G26" s="6">
        <f>1/(1+$B$10)^5</f>
        <v>0.68058319703375303</v>
      </c>
      <c r="H26" s="6"/>
    </row>
    <row r="27" spans="1:8" x14ac:dyDescent="0.25">
      <c r="A27" s="2" t="s">
        <v>197</v>
      </c>
      <c r="B27" s="1"/>
      <c r="C27" s="10">
        <f>C25*C26</f>
        <v>-2108888.8888888885</v>
      </c>
      <c r="D27" s="10">
        <f>D25*D26</f>
        <v>-1734526.7489711933</v>
      </c>
      <c r="E27" s="10">
        <f>E25*E26</f>
        <v>-1400014.4795000753</v>
      </c>
      <c r="F27" s="10">
        <f>F25*F26</f>
        <v>-1101726.9414666903</v>
      </c>
      <c r="G27" s="10">
        <f>G25*G26</f>
        <v>-836344.93005286052</v>
      </c>
      <c r="H27" s="10"/>
    </row>
    <row r="28" spans="1:8" x14ac:dyDescent="0.25">
      <c r="A28" s="2" t="s">
        <v>198</v>
      </c>
      <c r="B28" s="1"/>
      <c r="C28" s="1"/>
      <c r="D28" s="1"/>
      <c r="E28" s="1"/>
      <c r="F28" s="1"/>
      <c r="G28" s="10">
        <f>IFERROR(H25/$B$11,0)</f>
        <v>-15890706.48947203</v>
      </c>
    </row>
    <row r="29" spans="1:8" x14ac:dyDescent="0.25">
      <c r="A29" s="2" t="s">
        <v>199</v>
      </c>
      <c r="B29" s="1"/>
      <c r="C29" s="1"/>
      <c r="D29" s="1"/>
      <c r="E29" s="1"/>
      <c r="F29" s="1"/>
      <c r="G29" s="10">
        <f>G28*G26</f>
        <v>-10814947.82572988</v>
      </c>
      <c r="H29" s="10"/>
    </row>
    <row r="30" spans="1:8" x14ac:dyDescent="0.25">
      <c r="B30" s="1"/>
      <c r="C30" s="1"/>
      <c r="D30" s="1"/>
      <c r="E30" s="1"/>
      <c r="F30" s="1"/>
      <c r="G30" s="1"/>
      <c r="H30" s="1"/>
    </row>
    <row r="31" spans="1:8" x14ac:dyDescent="0.25">
      <c r="A31" s="2" t="s">
        <v>200</v>
      </c>
      <c r="B31" s="17">
        <f>SUM(C27:G27)+G29</f>
        <v>-17996449.814609587</v>
      </c>
      <c r="C31" s="1"/>
      <c r="D31" s="1"/>
      <c r="E31" s="1"/>
      <c r="F31" s="1"/>
      <c r="G31" s="1"/>
      <c r="H31" s="1"/>
    </row>
    <row r="32" spans="1:8" x14ac:dyDescent="0.25">
      <c r="A32" s="2" t="s">
        <v>201</v>
      </c>
      <c r="B32" s="17">
        <f>E9*B14+B31*(1-B14)</f>
        <v>-29703679.45275934</v>
      </c>
      <c r="C32" s="1"/>
      <c r="D32" s="1"/>
      <c r="E32" s="1"/>
      <c r="F32" s="1"/>
      <c r="G32" s="1"/>
      <c r="H32" s="1"/>
    </row>
  </sheetData>
  <mergeCells count="3">
    <mergeCell ref="D3:H3"/>
    <mergeCell ref="A1:H1"/>
    <mergeCell ref="A17:H17"/>
  </mergeCells>
  <phoneticPr fontId="1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2"/>
  <sheetViews>
    <sheetView showGridLines="0" workbookViewId="0">
      <selection activeCell="D22" sqref="D22"/>
    </sheetView>
  </sheetViews>
  <sheetFormatPr defaultRowHeight="15" x14ac:dyDescent="0.25"/>
  <cols>
    <col min="1" max="1" width="24" customWidth="1"/>
    <col min="2" max="2" width="18" customWidth="1"/>
    <col min="3" max="3" width="14" customWidth="1"/>
    <col min="4" max="4" width="18" customWidth="1"/>
  </cols>
  <sheetData>
    <row r="1" spans="1:4" ht="18.75" x14ac:dyDescent="0.25">
      <c r="A1" s="127" t="s">
        <v>202</v>
      </c>
      <c r="B1" s="128"/>
      <c r="C1" s="128"/>
      <c r="D1" s="128"/>
    </row>
    <row r="2" spans="1:4" x14ac:dyDescent="0.25">
      <c r="B2" s="1"/>
      <c r="C2" s="1"/>
      <c r="D2" s="1"/>
    </row>
    <row r="3" spans="1:4" x14ac:dyDescent="0.25">
      <c r="A3" s="3" t="s">
        <v>203</v>
      </c>
      <c r="B3" s="3" t="s">
        <v>108</v>
      </c>
      <c r="C3" s="3" t="s">
        <v>109</v>
      </c>
      <c r="D3" s="3" t="s">
        <v>204</v>
      </c>
    </row>
    <row r="4" spans="1:4" x14ac:dyDescent="0.25">
      <c r="A4" s="4" t="s">
        <v>205</v>
      </c>
      <c r="B4" s="16">
        <f>비교방식!K29</f>
        <v>0</v>
      </c>
      <c r="C4" s="9">
        <v>0.4</v>
      </c>
      <c r="D4" s="10">
        <f>B4*C4</f>
        <v>0</v>
      </c>
    </row>
    <row r="5" spans="1:4" x14ac:dyDescent="0.25">
      <c r="A5" s="4" t="s">
        <v>206</v>
      </c>
      <c r="B5" s="16" t="e">
        <f>'원가방식(개별물건기준)'!B52</f>
        <v>#DIV/0!</v>
      </c>
      <c r="C5" s="9">
        <v>0.2</v>
      </c>
      <c r="D5" s="10" t="e">
        <f>B5*C5</f>
        <v>#DIV/0!</v>
      </c>
    </row>
    <row r="6" spans="1:4" x14ac:dyDescent="0.25">
      <c r="A6" s="4" t="s">
        <v>207</v>
      </c>
      <c r="B6" s="16">
        <f>수익방식!B32</f>
        <v>-29703679.45275934</v>
      </c>
      <c r="C6" s="9">
        <v>0.4</v>
      </c>
      <c r="D6" s="10">
        <f>B6*C6</f>
        <v>-11881471.781103738</v>
      </c>
    </row>
    <row r="7" spans="1:4" x14ac:dyDescent="0.25">
      <c r="B7" s="1"/>
      <c r="C7" s="1"/>
      <c r="D7" s="1"/>
    </row>
    <row r="8" spans="1:4" x14ac:dyDescent="0.25">
      <c r="A8" s="2" t="s">
        <v>208</v>
      </c>
      <c r="B8" s="18">
        <f>SUM(C4:C6)</f>
        <v>1</v>
      </c>
      <c r="C8" s="1"/>
      <c r="D8" s="1"/>
    </row>
    <row r="9" spans="1:4" x14ac:dyDescent="0.25">
      <c r="B9" s="1"/>
      <c r="C9" s="1"/>
      <c r="D9" s="1"/>
    </row>
    <row r="10" spans="1:4" ht="15.75" x14ac:dyDescent="0.25">
      <c r="A10" s="2" t="s">
        <v>209</v>
      </c>
      <c r="B10" s="22">
        <f>IFERROR(SUM(D4:D6)/SUM(C4:C6),0)</f>
        <v>0</v>
      </c>
      <c r="C10" s="1"/>
      <c r="D10" s="1"/>
    </row>
    <row r="11" spans="1:4" x14ac:dyDescent="0.25">
      <c r="B11" s="1"/>
      <c r="C11" s="1"/>
      <c r="D11" s="1"/>
    </row>
    <row r="12" spans="1:4" x14ac:dyDescent="0.25">
      <c r="A12" t="s">
        <v>210</v>
      </c>
      <c r="B12" s="7" t="str">
        <f>IF(ABS(B8-1)&lt;0.0001,"가중치 정상","가중치 확인 필요")</f>
        <v>가중치 정상</v>
      </c>
      <c r="C12" s="1"/>
      <c r="D12" s="1"/>
    </row>
  </sheetData>
  <mergeCells count="1">
    <mergeCell ref="A1:D1"/>
  </mergeCells>
  <phoneticPr fontId="14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입력값</vt:lpstr>
      <vt:lpstr>원가방식(개별물건기준)</vt:lpstr>
      <vt:lpstr>비교방식</vt:lpstr>
      <vt:lpstr>수익방식</vt:lpstr>
      <vt:lpstr>시산가액조정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하상봉</dc:creator>
  <cp:lastModifiedBy>하상봉</cp:lastModifiedBy>
  <dcterms:created xsi:type="dcterms:W3CDTF">2026-03-31T00:30:12Z</dcterms:created>
  <dcterms:modified xsi:type="dcterms:W3CDTF">2026-04-06T07:58:00Z</dcterms:modified>
</cp:coreProperties>
</file>